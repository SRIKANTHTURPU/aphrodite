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rikanthTurpu\Downloads\"/>
    </mc:Choice>
  </mc:AlternateContent>
  <xr:revisionPtr revIDLastSave="0" documentId="13_ncr:1_{A38A38AB-B6CB-4D3E-93A9-79933BBD6FC5}" xr6:coauthVersionLast="47" xr6:coauthVersionMax="47" xr10:uidLastSave="{00000000-0000-0000-0000-000000000000}"/>
  <bookViews>
    <workbookView xWindow="-110" yWindow="-110" windowWidth="19420" windowHeight="11620" tabRatio="500" xr2:uid="{00000000-000D-0000-FFFF-FFFF00000000}"/>
  </bookViews>
  <sheets>
    <sheet name="Application Tracker" sheetId="1" r:id="rId1"/>
    <sheet name="Dashboard" sheetId="2" r:id="rId2"/>
    <sheet name="How to Use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7" i="2" l="1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B14" i="2"/>
  <c r="E13" i="2"/>
  <c r="B13" i="2"/>
  <c r="E12" i="2"/>
  <c r="B12" i="2"/>
  <c r="E11" i="2"/>
  <c r="B11" i="2"/>
  <c r="E10" i="2"/>
  <c r="B10" i="2"/>
  <c r="E9" i="2"/>
  <c r="B9" i="2"/>
  <c r="E8" i="2"/>
  <c r="B8" i="2"/>
  <c r="E7" i="2"/>
  <c r="B7" i="2"/>
  <c r="E6" i="2"/>
  <c r="B6" i="2"/>
  <c r="E5" i="2"/>
  <c r="B5" i="2"/>
</calcChain>
</file>

<file path=xl/sharedStrings.xml><?xml version="1.0" encoding="utf-8"?>
<sst xmlns="http://schemas.openxmlformats.org/spreadsheetml/2006/main" count="339" uniqueCount="179">
  <si>
    <t>Company</t>
  </si>
  <si>
    <t>Sector</t>
  </si>
  <si>
    <t>HQ Country</t>
  </si>
  <si>
    <t>Year Arrived (Hyderabad)</t>
  </si>
  <si>
    <t>Role Applied For</t>
  </si>
  <si>
    <t>Portal/Source</t>
  </si>
  <si>
    <t>Date Applied</t>
  </si>
  <si>
    <t>Status</t>
  </si>
  <si>
    <t>Follow-up Date</t>
  </si>
  <si>
    <t>Recruiter/Contact</t>
  </si>
  <si>
    <t>Tech Stack Match</t>
  </si>
  <si>
    <t>Priority</t>
  </si>
  <si>
    <t>Notes</t>
  </si>
  <si>
    <t>Microsoft</t>
  </si>
  <si>
    <t>Technology</t>
  </si>
  <si>
    <t>USA</t>
  </si>
  <si>
    <t>Not Applied</t>
  </si>
  <si>
    <t>Google</t>
  </si>
  <si>
    <t>Amazon</t>
  </si>
  <si>
    <t>Apple</t>
  </si>
  <si>
    <t>Salesforce</t>
  </si>
  <si>
    <t>Meta</t>
  </si>
  <si>
    <t>Oracle</t>
  </si>
  <si>
    <t>ServiceNow</t>
  </si>
  <si>
    <t>IBM Software Labs</t>
  </si>
  <si>
    <t>Qualcomm</t>
  </si>
  <si>
    <t>Micron Technology</t>
  </si>
  <si>
    <t>Semiconductors</t>
  </si>
  <si>
    <t>AT&amp;T</t>
  </si>
  <si>
    <t>Telecom</t>
  </si>
  <si>
    <t>T-Mobile</t>
  </si>
  <si>
    <t>Netflix</t>
  </si>
  <si>
    <t>Media/Tech</t>
  </si>
  <si>
    <t>Warner Bros. Discovery</t>
  </si>
  <si>
    <t>DAZN</t>
  </si>
  <si>
    <t>Media/Sports Tech</t>
  </si>
  <si>
    <t>UK</t>
  </si>
  <si>
    <t>JPMorgan Chase</t>
  </si>
  <si>
    <t>BFSI/Fintech</t>
  </si>
  <si>
    <t>Wells Fargo</t>
  </si>
  <si>
    <t>Goldman Sachs</t>
  </si>
  <si>
    <t>Vanguard</t>
  </si>
  <si>
    <t>State Street</t>
  </si>
  <si>
    <t>UBS</t>
  </si>
  <si>
    <t>Switzerland</t>
  </si>
  <si>
    <t>HSBC</t>
  </si>
  <si>
    <t>Lloyds Banking Group</t>
  </si>
  <si>
    <t>Bank of America</t>
  </si>
  <si>
    <t>Chubb</t>
  </si>
  <si>
    <t>Insurance</t>
  </si>
  <si>
    <t>Switzerland/USA</t>
  </si>
  <si>
    <t>Western Union</t>
  </si>
  <si>
    <t>Fintech</t>
  </si>
  <si>
    <t>Novartis</t>
  </si>
  <si>
    <t>Pharma/Life Sciences</t>
  </si>
  <si>
    <t>Sanofi</t>
  </si>
  <si>
    <t>France</t>
  </si>
  <si>
    <t>Eli Lilly</t>
  </si>
  <si>
    <t>Bristol Myers Squibb</t>
  </si>
  <si>
    <t>Amgen</t>
  </si>
  <si>
    <t>UnitedHealth Group / Optum</t>
  </si>
  <si>
    <t>Healthcare</t>
  </si>
  <si>
    <t>Elevance Health (Carelon)</t>
  </si>
  <si>
    <t>Cohere Health</t>
  </si>
  <si>
    <t>HCA Healthcare</t>
  </si>
  <si>
    <t>Abbott</t>
  </si>
  <si>
    <t>Opella Healthcare</t>
  </si>
  <si>
    <t>McDonald's</t>
  </si>
  <si>
    <t>Retail/Consumer</t>
  </si>
  <si>
    <t>PepsiCo</t>
  </si>
  <si>
    <t>Costco</t>
  </si>
  <si>
    <t>L'Oreal</t>
  </si>
  <si>
    <t>Heineken</t>
  </si>
  <si>
    <t>Netherlands</t>
  </si>
  <si>
    <t>Nestle</t>
  </si>
  <si>
    <t>JLL</t>
  </si>
  <si>
    <t>Professional Services</t>
  </si>
  <si>
    <t>Southwest Airlines</t>
  </si>
  <si>
    <t>Aviation</t>
  </si>
  <si>
    <t>American Airlines</t>
  </si>
  <si>
    <t>Honeywell</t>
  </si>
  <si>
    <t>Engineering/Industrial</t>
  </si>
  <si>
    <t>Hyundai</t>
  </si>
  <si>
    <t>Automotive</t>
  </si>
  <si>
    <t>South Korea</t>
  </si>
  <si>
    <t>Garmin</t>
  </si>
  <si>
    <t>Engineering/Tech</t>
  </si>
  <si>
    <t>ArcelorMittal (AMGBT)</t>
  </si>
  <si>
    <t>Luxembourg</t>
  </si>
  <si>
    <t>BASF</t>
  </si>
  <si>
    <t>Chemicals</t>
  </si>
  <si>
    <t>Germany</t>
  </si>
  <si>
    <t>FactSet</t>
  </si>
  <si>
    <t>Fintech/Data</t>
  </si>
  <si>
    <t>Revolut</t>
  </si>
  <si>
    <t>Clean Harbors</t>
  </si>
  <si>
    <t>Environmental Services</t>
  </si>
  <si>
    <t>Charles Schwab</t>
  </si>
  <si>
    <t>MetLife</t>
  </si>
  <si>
    <t>BFSI/Insurance</t>
  </si>
  <si>
    <t>Voya Financial</t>
  </si>
  <si>
    <t>Lonza Group</t>
  </si>
  <si>
    <t>Biopharma/CDMO</t>
  </si>
  <si>
    <t>Sonatype</t>
  </si>
  <si>
    <t>Cybersecurity/Tech</t>
  </si>
  <si>
    <t>Astera Labs</t>
  </si>
  <si>
    <t>Bluepace</t>
  </si>
  <si>
    <t>Zurich Insurance</t>
  </si>
  <si>
    <t>Roche Diagnostics</t>
  </si>
  <si>
    <t>ABB</t>
  </si>
  <si>
    <t>Regeneron</t>
  </si>
  <si>
    <t>Silicon Labs</t>
  </si>
  <si>
    <t>Reckitt</t>
  </si>
  <si>
    <t>Uber</t>
  </si>
  <si>
    <t>Dai-ichi Life Group</t>
  </si>
  <si>
    <t>Japan</t>
  </si>
  <si>
    <t>Octave Intelligence</t>
  </si>
  <si>
    <t>Industrial Software/Tech</t>
  </si>
  <si>
    <t>CyberArk</t>
  </si>
  <si>
    <t>Cybersecurity</t>
  </si>
  <si>
    <t>USA/Israel</t>
  </si>
  <si>
    <t>Syneos Health</t>
  </si>
  <si>
    <t>Healthcare/Life Sciences CRO</t>
  </si>
  <si>
    <t>Availity</t>
  </si>
  <si>
    <t>Healthcare IT</t>
  </si>
  <si>
    <t>Temenos</t>
  </si>
  <si>
    <t>BFSI/Banking Software</t>
  </si>
  <si>
    <t>Blackbaud</t>
  </si>
  <si>
    <t>Technology/Nonprofit Software</t>
  </si>
  <si>
    <t>Deutsche Börse Group</t>
  </si>
  <si>
    <t>BlackBerry</t>
  </si>
  <si>
    <t>Canada</t>
  </si>
  <si>
    <t>Storable</t>
  </si>
  <si>
    <t>PropTech/Software</t>
  </si>
  <si>
    <t>Align Technology</t>
  </si>
  <si>
    <t>Medical Devices</t>
  </si>
  <si>
    <t>Mondee Holdings</t>
  </si>
  <si>
    <t>Travel Technology</t>
  </si>
  <si>
    <t>FedEx</t>
  </si>
  <si>
    <t>Logistics</t>
  </si>
  <si>
    <t>Sutherland</t>
  </si>
  <si>
    <t>BPO/Technology Services</t>
  </si>
  <si>
    <t>IKEA</t>
  </si>
  <si>
    <t>Retail</t>
  </si>
  <si>
    <t>Sweden/Netherlands</t>
  </si>
  <si>
    <t>Compass Group</t>
  </si>
  <si>
    <t>Food Services</t>
  </si>
  <si>
    <t>Boeing</t>
  </si>
  <si>
    <t>Aerospace</t>
  </si>
  <si>
    <t>Application Tracker — Dashboard</t>
  </si>
  <si>
    <t>Auto-updates from 'Application Tracker' sheet. Do not edit formula cells.</t>
  </si>
  <si>
    <t>Count</t>
  </si>
  <si>
    <t>Applied</t>
  </si>
  <si>
    <t>Screening</t>
  </si>
  <si>
    <t>Interview Scheduled</t>
  </si>
  <si>
    <t>Interview Completed</t>
  </si>
  <si>
    <t>Offer</t>
  </si>
  <si>
    <t>Rejected</t>
  </si>
  <si>
    <t>No Response</t>
  </si>
  <si>
    <t>Withdrawn</t>
  </si>
  <si>
    <t>Total Companies Tracked</t>
  </si>
  <si>
    <t>New 2025-26 Entrants Tracked</t>
  </si>
  <si>
    <t>How to Use This Tracker</t>
  </si>
  <si>
    <t>Company / Sector / HQ Country</t>
  </si>
  <si>
    <t>Pre-filled with 70 verified Hyderabad GCC companies from research. Add more rows at the bottom for any company you find yourself.</t>
  </si>
  <si>
    <t>When known: the year the GCC was established or most recently expanded in Hyderabad. Blank = long-established, exact year not verified from public sources.</t>
  </si>
  <si>
    <t>Orange-highlighted rows</t>
  </si>
  <si>
    <t>Companies confirmed as new to Hyderabad in 2025-2026 (or a major recent expansion). These are actively scaling headcount right now -- often the best window to apply, since roles are opening faster than they can be filled.</t>
  </si>
  <si>
    <t>e.g. SDET, QA Automation Engineer, Senior QA Engineer -- copy from the job posting.</t>
  </si>
  <si>
    <t>Dropdown: Hirist, Instahyre, LinkedIn, Naukri, Foundit, Cutshort, myjobb, Arya, Company Website, Referral, Other.</t>
  </si>
  <si>
    <t>Date you submitted the application.</t>
  </si>
  <si>
    <t>Dropdown: Not Applied -&gt; Applied -&gt; Screening -&gt; Interview Scheduled -&gt; Interview Completed -&gt; Offer / Rejected / No Response / Withdrawn.</t>
  </si>
  <si>
    <t>Set this ~7-10 days after applying; check the Dashboard weekly to see what's due.</t>
  </si>
  <si>
    <t>Name + email/LinkedIn of recruiter or referral contact, if you have one.</t>
  </si>
  <si>
    <t>Note which of your skills matched: Playwright, Cypress, Appium, TypeScript, CI/CD, etc. Helps you see which stack is landing interviews.</t>
  </si>
  <si>
    <t>Dropdown: High / Medium / Low -- rank based on fit and interest so you know where to focus follow-ups.</t>
  </si>
  <si>
    <t>Anything else -- interview feedback, salary range discussed, referral source, etc.</t>
  </si>
  <si>
    <t>Dashboard tab</t>
  </si>
  <si>
    <t>Auto-counts applications by Status and by Sector, plus a running count of new 2025-26 entrants. Updates automatically -- don't edit its formula cells directly.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</si>
</sst>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color rgb="FFC00000"/>
      <name val="Arial"/>
      <charset val="1"/>
    </font>
    <font>
      <b/>
      <sz val="10"/>
      <name val="Arial"/>
      <charset val="1"/>
    </font>
    <font>
      <sz val="11"/>
      <name val="Calibri"/>
      <family val="2"/>
      <charset val="1"/>
    </font>
    <font>
      <sz val="10"/>
      <name val="Arial"/>
      <family val="2"/>
    </font>
    <font>
      <sz val="11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FFF2CC"/>
      </patternFill>
    </fill>
    <fill>
      <patternFill patternType="solid">
        <fgColor rgb="FFD9E1F2"/>
        <bgColor rgb="FFD9D9D9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1" xfId="0" applyFont="1" applyBorder="1"/>
    <xf numFmtId="0" fontId="5" fillId="3" borderId="1" xfId="0" applyFont="1" applyFill="1" applyBorder="1"/>
    <xf numFmtId="0" fontId="3" fillId="2" borderId="0" xfId="0" applyFont="1" applyFill="1"/>
    <xf numFmtId="0" fontId="6" fillId="4" borderId="1" xfId="0" applyFont="1" applyFill="1" applyBorder="1"/>
    <xf numFmtId="0" fontId="6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7" fillId="0" borderId="0" xfId="0" applyFont="1" applyFill="1"/>
    <xf numFmtId="0" fontId="8" fillId="0" borderId="1" xfId="0" applyFont="1" applyFill="1" applyBorder="1"/>
    <xf numFmtId="0" fontId="7" fillId="0" borderId="1" xfId="0" applyFont="1" applyFill="1" applyBorder="1"/>
    <xf numFmtId="0" fontId="9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1"/>
  <sheetViews>
    <sheetView tabSelected="1" zoomScaleNormal="100" workbookViewId="0">
      <pane ySplit="1" topLeftCell="A67" activePane="bottomLeft" state="frozen"/>
      <selection pane="bottomLeft" activeCell="D53" sqref="D53"/>
    </sheetView>
  </sheetViews>
  <sheetFormatPr defaultColWidth="8.6328125" defaultRowHeight="14.5" x14ac:dyDescent="0.35"/>
  <cols>
    <col min="1" max="1" width="24" style="9" customWidth="1"/>
    <col min="2" max="2" width="20" style="9" customWidth="1"/>
    <col min="3" max="3" width="16" style="9" customWidth="1"/>
    <col min="4" max="4" width="24" style="9" customWidth="1"/>
    <col min="5" max="16384" width="8.6328125" style="9"/>
  </cols>
  <sheetData>
    <row r="1" spans="1:4" x14ac:dyDescent="0.35">
      <c r="A1" s="12" t="s">
        <v>0</v>
      </c>
      <c r="B1" s="12" t="s">
        <v>1</v>
      </c>
      <c r="C1" s="12" t="s">
        <v>2</v>
      </c>
      <c r="D1" s="12" t="s">
        <v>4</v>
      </c>
    </row>
    <row r="2" spans="1:4" ht="15" customHeight="1" x14ac:dyDescent="0.35">
      <c r="A2" s="10" t="s">
        <v>13</v>
      </c>
      <c r="B2" s="10" t="s">
        <v>14</v>
      </c>
      <c r="C2" s="10" t="s">
        <v>15</v>
      </c>
      <c r="D2" s="11"/>
    </row>
    <row r="3" spans="1:4" ht="15" customHeight="1" x14ac:dyDescent="0.35">
      <c r="A3" s="10" t="s">
        <v>17</v>
      </c>
      <c r="B3" s="10" t="s">
        <v>14</v>
      </c>
      <c r="C3" s="10" t="s">
        <v>15</v>
      </c>
      <c r="D3" s="11"/>
    </row>
    <row r="4" spans="1:4" ht="15" customHeight="1" x14ac:dyDescent="0.35">
      <c r="A4" s="10" t="s">
        <v>18</v>
      </c>
      <c r="B4" s="10" t="s">
        <v>14</v>
      </c>
      <c r="C4" s="10" t="s">
        <v>15</v>
      </c>
      <c r="D4" s="11"/>
    </row>
    <row r="5" spans="1:4" ht="15" customHeight="1" x14ac:dyDescent="0.35">
      <c r="A5" s="10" t="s">
        <v>19</v>
      </c>
      <c r="B5" s="10" t="s">
        <v>14</v>
      </c>
      <c r="C5" s="10" t="s">
        <v>15</v>
      </c>
      <c r="D5" s="11"/>
    </row>
    <row r="6" spans="1:4" ht="15" customHeight="1" x14ac:dyDescent="0.35">
      <c r="A6" s="10" t="s">
        <v>20</v>
      </c>
      <c r="B6" s="10" t="s">
        <v>14</v>
      </c>
      <c r="C6" s="10" t="s">
        <v>15</v>
      </c>
      <c r="D6" s="11"/>
    </row>
    <row r="7" spans="1:4" ht="15" customHeight="1" x14ac:dyDescent="0.35">
      <c r="A7" s="10" t="s">
        <v>21</v>
      </c>
      <c r="B7" s="10" t="s">
        <v>14</v>
      </c>
      <c r="C7" s="10" t="s">
        <v>15</v>
      </c>
      <c r="D7" s="11"/>
    </row>
    <row r="8" spans="1:4" ht="15" customHeight="1" x14ac:dyDescent="0.35">
      <c r="A8" s="10" t="s">
        <v>22</v>
      </c>
      <c r="B8" s="10" t="s">
        <v>14</v>
      </c>
      <c r="C8" s="10" t="s">
        <v>15</v>
      </c>
      <c r="D8" s="11"/>
    </row>
    <row r="9" spans="1:4" ht="15" customHeight="1" x14ac:dyDescent="0.35">
      <c r="A9" s="10" t="s">
        <v>23</v>
      </c>
      <c r="B9" s="10" t="s">
        <v>14</v>
      </c>
      <c r="C9" s="10" t="s">
        <v>15</v>
      </c>
      <c r="D9" s="11"/>
    </row>
    <row r="10" spans="1:4" ht="15" customHeight="1" x14ac:dyDescent="0.35">
      <c r="A10" s="10" t="s">
        <v>24</v>
      </c>
      <c r="B10" s="10" t="s">
        <v>14</v>
      </c>
      <c r="C10" s="10" t="s">
        <v>15</v>
      </c>
      <c r="D10" s="11"/>
    </row>
    <row r="11" spans="1:4" ht="15" customHeight="1" x14ac:dyDescent="0.35">
      <c r="A11" s="10" t="s">
        <v>25</v>
      </c>
      <c r="B11" s="10" t="s">
        <v>14</v>
      </c>
      <c r="C11" s="10" t="s">
        <v>15</v>
      </c>
      <c r="D11" s="11"/>
    </row>
    <row r="12" spans="1:4" ht="15" customHeight="1" x14ac:dyDescent="0.35">
      <c r="A12" s="10" t="s">
        <v>26</v>
      </c>
      <c r="B12" s="10" t="s">
        <v>27</v>
      </c>
      <c r="C12" s="10" t="s">
        <v>15</v>
      </c>
      <c r="D12" s="11"/>
    </row>
    <row r="13" spans="1:4" ht="15" customHeight="1" x14ac:dyDescent="0.35">
      <c r="A13" s="10" t="s">
        <v>28</v>
      </c>
      <c r="B13" s="10" t="s">
        <v>29</v>
      </c>
      <c r="C13" s="10" t="s">
        <v>15</v>
      </c>
      <c r="D13" s="11"/>
    </row>
    <row r="14" spans="1:4" ht="15" customHeight="1" x14ac:dyDescent="0.35">
      <c r="A14" s="10" t="s">
        <v>30</v>
      </c>
      <c r="B14" s="10" t="s">
        <v>29</v>
      </c>
      <c r="C14" s="10" t="s">
        <v>15</v>
      </c>
      <c r="D14" s="11"/>
    </row>
    <row r="15" spans="1:4" ht="15" customHeight="1" x14ac:dyDescent="0.35">
      <c r="A15" s="10" t="s">
        <v>31</v>
      </c>
      <c r="B15" s="10" t="s">
        <v>32</v>
      </c>
      <c r="C15" s="10" t="s">
        <v>15</v>
      </c>
      <c r="D15" s="11"/>
    </row>
    <row r="16" spans="1:4" ht="15" customHeight="1" x14ac:dyDescent="0.35">
      <c r="A16" s="10" t="s">
        <v>33</v>
      </c>
      <c r="B16" s="10" t="s">
        <v>32</v>
      </c>
      <c r="C16" s="10" t="s">
        <v>15</v>
      </c>
      <c r="D16" s="11"/>
    </row>
    <row r="17" spans="1:4" ht="15" customHeight="1" x14ac:dyDescent="0.35">
      <c r="A17" s="10" t="s">
        <v>34</v>
      </c>
      <c r="B17" s="10" t="s">
        <v>35</v>
      </c>
      <c r="C17" s="10" t="s">
        <v>36</v>
      </c>
      <c r="D17" s="11"/>
    </row>
    <row r="18" spans="1:4" ht="15" customHeight="1" x14ac:dyDescent="0.35">
      <c r="A18" s="10" t="s">
        <v>37</v>
      </c>
      <c r="B18" s="10" t="s">
        <v>38</v>
      </c>
      <c r="C18" s="10" t="s">
        <v>15</v>
      </c>
      <c r="D18" s="11"/>
    </row>
    <row r="19" spans="1:4" ht="15" customHeight="1" x14ac:dyDescent="0.35">
      <c r="A19" s="10" t="s">
        <v>39</v>
      </c>
      <c r="B19" s="10" t="s">
        <v>38</v>
      </c>
      <c r="C19" s="10" t="s">
        <v>15</v>
      </c>
      <c r="D19" s="11"/>
    </row>
    <row r="20" spans="1:4" ht="15" customHeight="1" x14ac:dyDescent="0.35">
      <c r="A20" s="10" t="s">
        <v>40</v>
      </c>
      <c r="B20" s="10" t="s">
        <v>38</v>
      </c>
      <c r="C20" s="10" t="s">
        <v>15</v>
      </c>
      <c r="D20" s="11"/>
    </row>
    <row r="21" spans="1:4" ht="15" customHeight="1" x14ac:dyDescent="0.35">
      <c r="A21" s="10" t="s">
        <v>41</v>
      </c>
      <c r="B21" s="10" t="s">
        <v>38</v>
      </c>
      <c r="C21" s="10" t="s">
        <v>15</v>
      </c>
      <c r="D21" s="11"/>
    </row>
    <row r="22" spans="1:4" ht="15" customHeight="1" x14ac:dyDescent="0.35">
      <c r="A22" s="10" t="s">
        <v>42</v>
      </c>
      <c r="B22" s="10" t="s">
        <v>38</v>
      </c>
      <c r="C22" s="10" t="s">
        <v>15</v>
      </c>
      <c r="D22" s="11"/>
    </row>
    <row r="23" spans="1:4" ht="15" customHeight="1" x14ac:dyDescent="0.35">
      <c r="A23" s="10" t="s">
        <v>43</v>
      </c>
      <c r="B23" s="10" t="s">
        <v>38</v>
      </c>
      <c r="C23" s="10" t="s">
        <v>44</v>
      </c>
      <c r="D23" s="11"/>
    </row>
    <row r="24" spans="1:4" ht="15" customHeight="1" x14ac:dyDescent="0.35">
      <c r="A24" s="10" t="s">
        <v>45</v>
      </c>
      <c r="B24" s="10" t="s">
        <v>38</v>
      </c>
      <c r="C24" s="10" t="s">
        <v>36</v>
      </c>
      <c r="D24" s="11"/>
    </row>
    <row r="25" spans="1:4" ht="15" customHeight="1" x14ac:dyDescent="0.35">
      <c r="A25" s="10" t="s">
        <v>46</v>
      </c>
      <c r="B25" s="10" t="s">
        <v>38</v>
      </c>
      <c r="C25" s="10" t="s">
        <v>36</v>
      </c>
      <c r="D25" s="11"/>
    </row>
    <row r="26" spans="1:4" ht="15" customHeight="1" x14ac:dyDescent="0.35">
      <c r="A26" s="10" t="s">
        <v>47</v>
      </c>
      <c r="B26" s="10" t="s">
        <v>38</v>
      </c>
      <c r="C26" s="10" t="s">
        <v>15</v>
      </c>
      <c r="D26" s="11"/>
    </row>
    <row r="27" spans="1:4" ht="15" customHeight="1" x14ac:dyDescent="0.35">
      <c r="A27" s="10" t="s">
        <v>48</v>
      </c>
      <c r="B27" s="10" t="s">
        <v>49</v>
      </c>
      <c r="C27" s="10" t="s">
        <v>50</v>
      </c>
      <c r="D27" s="11"/>
    </row>
    <row r="28" spans="1:4" ht="15" customHeight="1" x14ac:dyDescent="0.35">
      <c r="A28" s="10" t="s">
        <v>51</v>
      </c>
      <c r="B28" s="10" t="s">
        <v>52</v>
      </c>
      <c r="C28" s="10" t="s">
        <v>15</v>
      </c>
      <c r="D28" s="11"/>
    </row>
    <row r="29" spans="1:4" ht="15" customHeight="1" x14ac:dyDescent="0.35">
      <c r="A29" s="10" t="s">
        <v>53</v>
      </c>
      <c r="B29" s="10" t="s">
        <v>54</v>
      </c>
      <c r="C29" s="10" t="s">
        <v>44</v>
      </c>
      <c r="D29" s="11"/>
    </row>
    <row r="30" spans="1:4" ht="15" customHeight="1" x14ac:dyDescent="0.35">
      <c r="A30" s="10" t="s">
        <v>55</v>
      </c>
      <c r="B30" s="10" t="s">
        <v>54</v>
      </c>
      <c r="C30" s="10" t="s">
        <v>56</v>
      </c>
      <c r="D30" s="11"/>
    </row>
    <row r="31" spans="1:4" ht="15" customHeight="1" x14ac:dyDescent="0.35">
      <c r="A31" s="10" t="s">
        <v>57</v>
      </c>
      <c r="B31" s="10" t="s">
        <v>54</v>
      </c>
      <c r="C31" s="10" t="s">
        <v>15</v>
      </c>
      <c r="D31" s="11"/>
    </row>
    <row r="32" spans="1:4" ht="15" customHeight="1" x14ac:dyDescent="0.35">
      <c r="A32" s="10" t="s">
        <v>58</v>
      </c>
      <c r="B32" s="10" t="s">
        <v>54</v>
      </c>
      <c r="C32" s="10" t="s">
        <v>15</v>
      </c>
      <c r="D32" s="11"/>
    </row>
    <row r="33" spans="1:4" ht="15" customHeight="1" x14ac:dyDescent="0.35">
      <c r="A33" s="10" t="s">
        <v>59</v>
      </c>
      <c r="B33" s="10" t="s">
        <v>54</v>
      </c>
      <c r="C33" s="10" t="s">
        <v>15</v>
      </c>
      <c r="D33" s="11"/>
    </row>
    <row r="34" spans="1:4" ht="15" customHeight="1" x14ac:dyDescent="0.35">
      <c r="A34" s="10" t="s">
        <v>60</v>
      </c>
      <c r="B34" s="10" t="s">
        <v>61</v>
      </c>
      <c r="C34" s="10" t="s">
        <v>15</v>
      </c>
      <c r="D34" s="11"/>
    </row>
    <row r="35" spans="1:4" ht="15" customHeight="1" x14ac:dyDescent="0.35">
      <c r="A35" s="10" t="s">
        <v>62</v>
      </c>
      <c r="B35" s="10" t="s">
        <v>61</v>
      </c>
      <c r="C35" s="10" t="s">
        <v>15</v>
      </c>
      <c r="D35" s="11"/>
    </row>
    <row r="36" spans="1:4" ht="15" customHeight="1" x14ac:dyDescent="0.35">
      <c r="A36" s="10" t="s">
        <v>63</v>
      </c>
      <c r="B36" s="10" t="s">
        <v>61</v>
      </c>
      <c r="C36" s="10" t="s">
        <v>15</v>
      </c>
      <c r="D36" s="11"/>
    </row>
    <row r="37" spans="1:4" ht="15" customHeight="1" x14ac:dyDescent="0.35">
      <c r="A37" s="10" t="s">
        <v>64</v>
      </c>
      <c r="B37" s="10" t="s">
        <v>61</v>
      </c>
      <c r="C37" s="10" t="s">
        <v>15</v>
      </c>
      <c r="D37" s="11"/>
    </row>
    <row r="38" spans="1:4" ht="15" customHeight="1" x14ac:dyDescent="0.35">
      <c r="A38" s="10" t="s">
        <v>65</v>
      </c>
      <c r="B38" s="10" t="s">
        <v>61</v>
      </c>
      <c r="C38" s="10" t="s">
        <v>15</v>
      </c>
      <c r="D38" s="11"/>
    </row>
    <row r="39" spans="1:4" ht="15" customHeight="1" x14ac:dyDescent="0.35">
      <c r="A39" s="10" t="s">
        <v>66</v>
      </c>
      <c r="B39" s="10" t="s">
        <v>61</v>
      </c>
      <c r="C39" s="10" t="s">
        <v>56</v>
      </c>
      <c r="D39" s="11"/>
    </row>
    <row r="40" spans="1:4" ht="15" customHeight="1" x14ac:dyDescent="0.35">
      <c r="A40" s="10" t="s">
        <v>67</v>
      </c>
      <c r="B40" s="10" t="s">
        <v>68</v>
      </c>
      <c r="C40" s="10" t="s">
        <v>15</v>
      </c>
      <c r="D40" s="11"/>
    </row>
    <row r="41" spans="1:4" ht="15" customHeight="1" x14ac:dyDescent="0.35">
      <c r="A41" s="10" t="s">
        <v>69</v>
      </c>
      <c r="B41" s="10" t="s">
        <v>68</v>
      </c>
      <c r="C41" s="10" t="s">
        <v>15</v>
      </c>
      <c r="D41" s="11"/>
    </row>
    <row r="42" spans="1:4" ht="15" customHeight="1" x14ac:dyDescent="0.35">
      <c r="A42" s="10" t="s">
        <v>70</v>
      </c>
      <c r="B42" s="10" t="s">
        <v>68</v>
      </c>
      <c r="C42" s="10" t="s">
        <v>15</v>
      </c>
      <c r="D42" s="11"/>
    </row>
    <row r="43" spans="1:4" ht="15" customHeight="1" x14ac:dyDescent="0.35">
      <c r="A43" s="10" t="s">
        <v>71</v>
      </c>
      <c r="B43" s="10" t="s">
        <v>68</v>
      </c>
      <c r="C43" s="10" t="s">
        <v>56</v>
      </c>
      <c r="D43" s="11"/>
    </row>
    <row r="44" spans="1:4" ht="15" customHeight="1" x14ac:dyDescent="0.35">
      <c r="A44" s="10" t="s">
        <v>72</v>
      </c>
      <c r="B44" s="10" t="s">
        <v>68</v>
      </c>
      <c r="C44" s="10" t="s">
        <v>73</v>
      </c>
      <c r="D44" s="11"/>
    </row>
    <row r="45" spans="1:4" ht="15" customHeight="1" x14ac:dyDescent="0.35">
      <c r="A45" s="10" t="s">
        <v>74</v>
      </c>
      <c r="B45" s="10" t="s">
        <v>68</v>
      </c>
      <c r="C45" s="10" t="s">
        <v>44</v>
      </c>
      <c r="D45" s="11"/>
    </row>
    <row r="46" spans="1:4" ht="15" customHeight="1" x14ac:dyDescent="0.35">
      <c r="A46" s="10" t="s">
        <v>75</v>
      </c>
      <c r="B46" s="10" t="s">
        <v>76</v>
      </c>
      <c r="C46" s="10" t="s">
        <v>15</v>
      </c>
      <c r="D46" s="11"/>
    </row>
    <row r="47" spans="1:4" ht="15" customHeight="1" x14ac:dyDescent="0.35">
      <c r="A47" s="10" t="s">
        <v>77</v>
      </c>
      <c r="B47" s="10" t="s">
        <v>78</v>
      </c>
      <c r="C47" s="10" t="s">
        <v>15</v>
      </c>
      <c r="D47" s="11"/>
    </row>
    <row r="48" spans="1:4" ht="15" customHeight="1" x14ac:dyDescent="0.35">
      <c r="A48" s="10" t="s">
        <v>79</v>
      </c>
      <c r="B48" s="10" t="s">
        <v>78</v>
      </c>
      <c r="C48" s="10" t="s">
        <v>15</v>
      </c>
      <c r="D48" s="11"/>
    </row>
    <row r="49" spans="1:4" ht="15" customHeight="1" x14ac:dyDescent="0.35">
      <c r="A49" s="10" t="s">
        <v>80</v>
      </c>
      <c r="B49" s="10" t="s">
        <v>81</v>
      </c>
      <c r="C49" s="10" t="s">
        <v>15</v>
      </c>
      <c r="D49" s="11"/>
    </row>
    <row r="50" spans="1:4" ht="15" customHeight="1" x14ac:dyDescent="0.35">
      <c r="A50" s="10" t="s">
        <v>82</v>
      </c>
      <c r="B50" s="10" t="s">
        <v>83</v>
      </c>
      <c r="C50" s="10" t="s">
        <v>84</v>
      </c>
      <c r="D50" s="11"/>
    </row>
    <row r="51" spans="1:4" ht="15" customHeight="1" x14ac:dyDescent="0.35">
      <c r="A51" s="10" t="s">
        <v>85</v>
      </c>
      <c r="B51" s="10" t="s">
        <v>86</v>
      </c>
      <c r="C51" s="10" t="s">
        <v>50</v>
      </c>
      <c r="D51" s="11"/>
    </row>
    <row r="52" spans="1:4" ht="15" customHeight="1" x14ac:dyDescent="0.35">
      <c r="A52" s="10" t="s">
        <v>87</v>
      </c>
      <c r="B52" s="10" t="s">
        <v>81</v>
      </c>
      <c r="C52" s="10" t="s">
        <v>88</v>
      </c>
      <c r="D52" s="11"/>
    </row>
    <row r="53" spans="1:4" ht="15" customHeight="1" x14ac:dyDescent="0.35">
      <c r="A53" s="10" t="s">
        <v>89</v>
      </c>
      <c r="B53" s="10" t="s">
        <v>90</v>
      </c>
      <c r="C53" s="10" t="s">
        <v>91</v>
      </c>
      <c r="D53" s="11"/>
    </row>
    <row r="54" spans="1:4" ht="15" customHeight="1" x14ac:dyDescent="0.35">
      <c r="A54" s="10" t="s">
        <v>92</v>
      </c>
      <c r="B54" s="10" t="s">
        <v>93</v>
      </c>
      <c r="C54" s="10" t="s">
        <v>15</v>
      </c>
      <c r="D54" s="11"/>
    </row>
    <row r="55" spans="1:4" ht="15" customHeight="1" x14ac:dyDescent="0.35">
      <c r="A55" s="10" t="s">
        <v>94</v>
      </c>
      <c r="B55" s="10" t="s">
        <v>52</v>
      </c>
      <c r="C55" s="10" t="s">
        <v>36</v>
      </c>
      <c r="D55" s="11"/>
    </row>
    <row r="56" spans="1:4" ht="15" customHeight="1" x14ac:dyDescent="0.35">
      <c r="A56" s="10" t="s">
        <v>95</v>
      </c>
      <c r="B56" s="10" t="s">
        <v>96</v>
      </c>
      <c r="C56" s="10" t="s">
        <v>15</v>
      </c>
      <c r="D56" s="11"/>
    </row>
    <row r="57" spans="1:4" ht="15" customHeight="1" x14ac:dyDescent="0.35">
      <c r="A57" s="10" t="s">
        <v>97</v>
      </c>
      <c r="B57" s="10" t="s">
        <v>38</v>
      </c>
      <c r="C57" s="10" t="s">
        <v>15</v>
      </c>
      <c r="D57" s="11"/>
    </row>
    <row r="58" spans="1:4" ht="15" customHeight="1" x14ac:dyDescent="0.35">
      <c r="A58" s="10" t="s">
        <v>98</v>
      </c>
      <c r="B58" s="10" t="s">
        <v>99</v>
      </c>
      <c r="C58" s="10" t="s">
        <v>15</v>
      </c>
      <c r="D58" s="11"/>
    </row>
    <row r="59" spans="1:4" ht="15" customHeight="1" x14ac:dyDescent="0.35">
      <c r="A59" s="10" t="s">
        <v>100</v>
      </c>
      <c r="B59" s="10" t="s">
        <v>38</v>
      </c>
      <c r="C59" s="10" t="s">
        <v>15</v>
      </c>
      <c r="D59" s="11"/>
    </row>
    <row r="60" spans="1:4" ht="15" customHeight="1" x14ac:dyDescent="0.35">
      <c r="A60" s="10" t="s">
        <v>101</v>
      </c>
      <c r="B60" s="10" t="s">
        <v>102</v>
      </c>
      <c r="C60" s="10" t="s">
        <v>44</v>
      </c>
      <c r="D60" s="11"/>
    </row>
    <row r="61" spans="1:4" ht="15" customHeight="1" x14ac:dyDescent="0.35">
      <c r="A61" s="10" t="s">
        <v>103</v>
      </c>
      <c r="B61" s="10" t="s">
        <v>104</v>
      </c>
      <c r="C61" s="10" t="s">
        <v>15</v>
      </c>
      <c r="D61" s="11"/>
    </row>
    <row r="62" spans="1:4" ht="15" customHeight="1" x14ac:dyDescent="0.35">
      <c r="A62" s="10" t="s">
        <v>105</v>
      </c>
      <c r="B62" s="10" t="s">
        <v>27</v>
      </c>
      <c r="C62" s="10" t="s">
        <v>15</v>
      </c>
      <c r="D62" s="11"/>
    </row>
    <row r="63" spans="1:4" ht="15" customHeight="1" x14ac:dyDescent="0.35">
      <c r="A63" s="10" t="s">
        <v>106</v>
      </c>
      <c r="B63" s="10" t="s">
        <v>14</v>
      </c>
      <c r="C63" s="10" t="s">
        <v>15</v>
      </c>
      <c r="D63" s="11"/>
    </row>
    <row r="64" spans="1:4" ht="15" customHeight="1" x14ac:dyDescent="0.35">
      <c r="A64" s="10" t="s">
        <v>107</v>
      </c>
      <c r="B64" s="10" t="s">
        <v>99</v>
      </c>
      <c r="C64" s="10" t="s">
        <v>44</v>
      </c>
      <c r="D64" s="11"/>
    </row>
    <row r="65" spans="1:4" ht="15" customHeight="1" x14ac:dyDescent="0.35">
      <c r="A65" s="10" t="s">
        <v>108</v>
      </c>
      <c r="B65" s="10" t="s">
        <v>54</v>
      </c>
      <c r="C65" s="10" t="s">
        <v>44</v>
      </c>
      <c r="D65" s="11"/>
    </row>
    <row r="66" spans="1:4" ht="15" customHeight="1" x14ac:dyDescent="0.35">
      <c r="A66" s="10" t="s">
        <v>109</v>
      </c>
      <c r="B66" s="10" t="s">
        <v>81</v>
      </c>
      <c r="C66" s="10" t="s">
        <v>44</v>
      </c>
      <c r="D66" s="11"/>
    </row>
    <row r="67" spans="1:4" ht="15" customHeight="1" x14ac:dyDescent="0.35">
      <c r="A67" s="10" t="s">
        <v>110</v>
      </c>
      <c r="B67" s="10" t="s">
        <v>54</v>
      </c>
      <c r="C67" s="10" t="s">
        <v>15</v>
      </c>
      <c r="D67" s="11"/>
    </row>
    <row r="68" spans="1:4" ht="15" customHeight="1" x14ac:dyDescent="0.35">
      <c r="A68" s="10" t="s">
        <v>111</v>
      </c>
      <c r="B68" s="10" t="s">
        <v>27</v>
      </c>
      <c r="C68" s="10" t="s">
        <v>15</v>
      </c>
      <c r="D68" s="11"/>
    </row>
    <row r="69" spans="1:4" ht="15" customHeight="1" x14ac:dyDescent="0.35">
      <c r="A69" s="10" t="s">
        <v>112</v>
      </c>
      <c r="B69" s="10" t="s">
        <v>68</v>
      </c>
      <c r="C69" s="10" t="s">
        <v>36</v>
      </c>
      <c r="D69" s="11"/>
    </row>
    <row r="70" spans="1:4" ht="15" customHeight="1" x14ac:dyDescent="0.35">
      <c r="A70" s="10" t="s">
        <v>113</v>
      </c>
      <c r="B70" s="10" t="s">
        <v>14</v>
      </c>
      <c r="C70" s="10" t="s">
        <v>15</v>
      </c>
      <c r="D70" s="11"/>
    </row>
    <row r="71" spans="1:4" ht="15" customHeight="1" x14ac:dyDescent="0.35">
      <c r="A71" s="10" t="s">
        <v>114</v>
      </c>
      <c r="B71" s="10" t="s">
        <v>99</v>
      </c>
      <c r="C71" s="10" t="s">
        <v>115</v>
      </c>
      <c r="D71" s="11"/>
    </row>
    <row r="72" spans="1:4" ht="15" customHeight="1" x14ac:dyDescent="0.35">
      <c r="A72" s="10" t="s">
        <v>116</v>
      </c>
      <c r="B72" s="10" t="s">
        <v>117</v>
      </c>
      <c r="C72" s="10" t="s">
        <v>15</v>
      </c>
      <c r="D72" s="11"/>
    </row>
    <row r="73" spans="1:4" ht="15" customHeight="1" x14ac:dyDescent="0.35">
      <c r="A73" s="10" t="s">
        <v>118</v>
      </c>
      <c r="B73" s="10" t="s">
        <v>119</v>
      </c>
      <c r="C73" s="10" t="s">
        <v>120</v>
      </c>
      <c r="D73" s="11"/>
    </row>
    <row r="74" spans="1:4" ht="15" customHeight="1" x14ac:dyDescent="0.35">
      <c r="A74" s="10" t="s">
        <v>121</v>
      </c>
      <c r="B74" s="10" t="s">
        <v>122</v>
      </c>
      <c r="C74" s="10" t="s">
        <v>15</v>
      </c>
      <c r="D74" s="11"/>
    </row>
    <row r="75" spans="1:4" ht="15" customHeight="1" x14ac:dyDescent="0.35">
      <c r="A75" s="10" t="s">
        <v>123</v>
      </c>
      <c r="B75" s="10" t="s">
        <v>124</v>
      </c>
      <c r="C75" s="10" t="s">
        <v>15</v>
      </c>
      <c r="D75" s="11"/>
    </row>
    <row r="76" spans="1:4" ht="15" customHeight="1" x14ac:dyDescent="0.35">
      <c r="A76" s="10" t="s">
        <v>125</v>
      </c>
      <c r="B76" s="10" t="s">
        <v>126</v>
      </c>
      <c r="C76" s="10" t="s">
        <v>44</v>
      </c>
      <c r="D76" s="11"/>
    </row>
    <row r="77" spans="1:4" ht="15" customHeight="1" x14ac:dyDescent="0.35">
      <c r="A77" s="10" t="s">
        <v>127</v>
      </c>
      <c r="B77" s="10" t="s">
        <v>128</v>
      </c>
      <c r="C77" s="10" t="s">
        <v>15</v>
      </c>
      <c r="D77" s="11"/>
    </row>
    <row r="78" spans="1:4" ht="15" customHeight="1" x14ac:dyDescent="0.35">
      <c r="A78" s="10" t="s">
        <v>129</v>
      </c>
      <c r="B78" s="10" t="s">
        <v>38</v>
      </c>
      <c r="C78" s="10" t="s">
        <v>91</v>
      </c>
      <c r="D78" s="11"/>
    </row>
    <row r="79" spans="1:4" ht="15" customHeight="1" x14ac:dyDescent="0.35">
      <c r="A79" s="10" t="s">
        <v>130</v>
      </c>
      <c r="B79" s="10" t="s">
        <v>104</v>
      </c>
      <c r="C79" s="10" t="s">
        <v>131</v>
      </c>
      <c r="D79" s="11"/>
    </row>
    <row r="80" spans="1:4" ht="15" customHeight="1" x14ac:dyDescent="0.35">
      <c r="A80" s="10" t="s">
        <v>132</v>
      </c>
      <c r="B80" s="10" t="s">
        <v>133</v>
      </c>
      <c r="C80" s="10" t="s">
        <v>15</v>
      </c>
      <c r="D80" s="11"/>
    </row>
    <row r="81" spans="1:4" ht="15" customHeight="1" x14ac:dyDescent="0.35">
      <c r="A81" s="10" t="s">
        <v>134</v>
      </c>
      <c r="B81" s="10" t="s">
        <v>135</v>
      </c>
      <c r="C81" s="10" t="s">
        <v>15</v>
      </c>
      <c r="D81" s="11"/>
    </row>
    <row r="82" spans="1:4" ht="15" customHeight="1" x14ac:dyDescent="0.35">
      <c r="A82" s="10" t="s">
        <v>136</v>
      </c>
      <c r="B82" s="10" t="s">
        <v>137</v>
      </c>
      <c r="C82" s="10" t="s">
        <v>15</v>
      </c>
      <c r="D82" s="11"/>
    </row>
    <row r="83" spans="1:4" ht="15" customHeight="1" x14ac:dyDescent="0.35">
      <c r="A83" s="10" t="s">
        <v>138</v>
      </c>
      <c r="B83" s="10" t="s">
        <v>139</v>
      </c>
      <c r="C83" s="10" t="s">
        <v>15</v>
      </c>
      <c r="D83" s="11"/>
    </row>
    <row r="84" spans="1:4" ht="15" customHeight="1" x14ac:dyDescent="0.35">
      <c r="A84" s="10" t="s">
        <v>140</v>
      </c>
      <c r="B84" s="10" t="s">
        <v>141</v>
      </c>
      <c r="C84" s="10" t="s">
        <v>15</v>
      </c>
      <c r="D84" s="11"/>
    </row>
    <row r="85" spans="1:4" ht="15" customHeight="1" x14ac:dyDescent="0.35">
      <c r="A85" s="10" t="s">
        <v>142</v>
      </c>
      <c r="B85" s="10" t="s">
        <v>143</v>
      </c>
      <c r="C85" s="10" t="s">
        <v>144</v>
      </c>
      <c r="D85" s="11"/>
    </row>
    <row r="86" spans="1:4" ht="15" customHeight="1" x14ac:dyDescent="0.35">
      <c r="A86" s="10" t="s">
        <v>145</v>
      </c>
      <c r="B86" s="10" t="s">
        <v>146</v>
      </c>
      <c r="C86" s="10" t="s">
        <v>36</v>
      </c>
      <c r="D86" s="11"/>
    </row>
    <row r="87" spans="1:4" ht="15" customHeight="1" x14ac:dyDescent="0.35">
      <c r="A87" s="10" t="s">
        <v>147</v>
      </c>
      <c r="B87" s="10" t="s">
        <v>148</v>
      </c>
      <c r="C87" s="10" t="s">
        <v>15</v>
      </c>
      <c r="D87" s="11"/>
    </row>
    <row r="88" spans="1:4" ht="15" customHeight="1" x14ac:dyDescent="0.35">
      <c r="A88" s="11"/>
      <c r="B88" s="11"/>
      <c r="C88" s="11"/>
      <c r="D88" s="11"/>
    </row>
    <row r="89" spans="1:4" ht="15" customHeight="1" x14ac:dyDescent="0.35">
      <c r="A89" s="11"/>
      <c r="B89" s="11"/>
      <c r="C89" s="11"/>
      <c r="D89" s="11"/>
    </row>
    <row r="90" spans="1:4" ht="15" customHeight="1" x14ac:dyDescent="0.35">
      <c r="A90" s="11"/>
      <c r="B90" s="11"/>
      <c r="C90" s="11"/>
      <c r="D90" s="11"/>
    </row>
    <row r="91" spans="1:4" ht="15" customHeight="1" x14ac:dyDescent="0.35">
      <c r="A91" s="11"/>
      <c r="B91" s="11"/>
      <c r="C91" s="11"/>
      <c r="D91" s="11"/>
    </row>
    <row r="92" spans="1:4" ht="15" customHeight="1" x14ac:dyDescent="0.35">
      <c r="A92" s="11"/>
      <c r="B92" s="11"/>
      <c r="C92" s="11"/>
      <c r="D92" s="11"/>
    </row>
    <row r="93" spans="1:4" ht="15" customHeight="1" x14ac:dyDescent="0.35">
      <c r="A93" s="11"/>
      <c r="B93" s="11"/>
      <c r="C93" s="11"/>
      <c r="D93" s="11"/>
    </row>
    <row r="94" spans="1:4" ht="15" customHeight="1" x14ac:dyDescent="0.35">
      <c r="A94" s="11"/>
      <c r="B94" s="11"/>
      <c r="C94" s="11"/>
      <c r="D94" s="11"/>
    </row>
    <row r="95" spans="1:4" ht="15" customHeight="1" x14ac:dyDescent="0.35">
      <c r="A95" s="11"/>
      <c r="B95" s="11"/>
      <c r="C95" s="11"/>
      <c r="D95" s="11"/>
    </row>
    <row r="96" spans="1:4" ht="15" customHeight="1" x14ac:dyDescent="0.35">
      <c r="A96" s="11"/>
      <c r="B96" s="11"/>
      <c r="C96" s="11"/>
      <c r="D96" s="11"/>
    </row>
    <row r="97" spans="1:4" ht="15" customHeight="1" x14ac:dyDescent="0.35">
      <c r="A97" s="11"/>
      <c r="B97" s="11"/>
      <c r="C97" s="11"/>
      <c r="D97" s="11"/>
    </row>
    <row r="98" spans="1:4" ht="15" customHeight="1" x14ac:dyDescent="0.35">
      <c r="A98" s="11"/>
      <c r="B98" s="11"/>
      <c r="C98" s="11"/>
      <c r="D98" s="11"/>
    </row>
    <row r="99" spans="1:4" ht="15" customHeight="1" x14ac:dyDescent="0.35">
      <c r="A99" s="11"/>
      <c r="B99" s="11"/>
      <c r="C99" s="11"/>
      <c r="D99" s="11"/>
    </row>
    <row r="100" spans="1:4" ht="15" customHeight="1" x14ac:dyDescent="0.35">
      <c r="A100" s="11"/>
      <c r="B100" s="11"/>
      <c r="C100" s="11"/>
      <c r="D100" s="11"/>
    </row>
    <row r="101" spans="1:4" ht="15" customHeight="1" x14ac:dyDescent="0.35">
      <c r="A101" s="11"/>
      <c r="B101" s="11"/>
      <c r="C101" s="11"/>
      <c r="D101" s="11"/>
    </row>
    <row r="102" spans="1:4" ht="15" customHeight="1" x14ac:dyDescent="0.35">
      <c r="A102" s="11"/>
      <c r="B102" s="11"/>
      <c r="C102" s="11"/>
      <c r="D102" s="11"/>
    </row>
    <row r="103" spans="1:4" ht="15" customHeight="1" x14ac:dyDescent="0.35">
      <c r="A103" s="11"/>
      <c r="B103" s="11"/>
      <c r="C103" s="11"/>
      <c r="D103" s="11"/>
    </row>
    <row r="104" spans="1:4" ht="15" customHeight="1" x14ac:dyDescent="0.35">
      <c r="A104" s="11"/>
      <c r="B104" s="11"/>
      <c r="C104" s="11"/>
      <c r="D104" s="11"/>
    </row>
    <row r="105" spans="1:4" ht="15" customHeight="1" x14ac:dyDescent="0.35">
      <c r="A105" s="11"/>
      <c r="B105" s="11"/>
      <c r="C105" s="11"/>
      <c r="D105" s="11"/>
    </row>
    <row r="106" spans="1:4" ht="15" customHeight="1" x14ac:dyDescent="0.35">
      <c r="A106" s="11"/>
      <c r="B106" s="11"/>
      <c r="C106" s="11"/>
      <c r="D106" s="11"/>
    </row>
    <row r="107" spans="1:4" ht="15" customHeight="1" x14ac:dyDescent="0.35">
      <c r="A107" s="11"/>
      <c r="B107" s="11"/>
      <c r="C107" s="11"/>
      <c r="D107" s="11"/>
    </row>
    <row r="108" spans="1:4" ht="15" customHeight="1" x14ac:dyDescent="0.35">
      <c r="A108" s="11"/>
      <c r="B108" s="11"/>
      <c r="C108" s="11"/>
      <c r="D108" s="11"/>
    </row>
    <row r="109" spans="1:4" ht="15" customHeight="1" x14ac:dyDescent="0.35">
      <c r="A109" s="11"/>
      <c r="B109" s="11"/>
      <c r="C109" s="11"/>
      <c r="D109" s="11"/>
    </row>
    <row r="110" spans="1:4" ht="15" customHeight="1" x14ac:dyDescent="0.35">
      <c r="A110" s="11"/>
      <c r="B110" s="11"/>
      <c r="C110" s="11"/>
      <c r="D110" s="11"/>
    </row>
    <row r="111" spans="1:4" ht="15" customHeight="1" x14ac:dyDescent="0.35">
      <c r="A111" s="11"/>
      <c r="B111" s="11"/>
      <c r="C111" s="11"/>
      <c r="D111" s="1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"/>
  <sheetViews>
    <sheetView zoomScaleNormal="100" workbookViewId="0"/>
  </sheetViews>
  <sheetFormatPr defaultColWidth="8.6328125" defaultRowHeight="14.5" x14ac:dyDescent="0.35"/>
  <cols>
    <col min="1" max="1" width="26" customWidth="1"/>
    <col min="2" max="2" width="10" customWidth="1"/>
    <col min="3" max="3" width="4" customWidth="1"/>
    <col min="4" max="4" width="26" customWidth="1"/>
    <col min="5" max="5" width="10" customWidth="1"/>
  </cols>
  <sheetData>
    <row r="1" spans="1:5" ht="17.25" customHeight="1" x14ac:dyDescent="0.4">
      <c r="A1" s="2" t="s">
        <v>149</v>
      </c>
      <c r="B1" s="2"/>
      <c r="C1" s="2"/>
      <c r="D1" s="2"/>
      <c r="E1" s="2"/>
    </row>
    <row r="2" spans="1:5" ht="15" customHeight="1" x14ac:dyDescent="0.35">
      <c r="A2" s="1" t="s">
        <v>150</v>
      </c>
      <c r="B2" s="1"/>
      <c r="C2" s="1"/>
      <c r="D2" s="1"/>
      <c r="E2" s="1"/>
    </row>
    <row r="4" spans="1:5" ht="15" customHeight="1" x14ac:dyDescent="0.35">
      <c r="A4" s="5" t="s">
        <v>7</v>
      </c>
      <c r="B4" s="5" t="s">
        <v>151</v>
      </c>
      <c r="D4" s="5" t="s">
        <v>1</v>
      </c>
      <c r="E4" s="5" t="s">
        <v>151</v>
      </c>
    </row>
    <row r="5" spans="1:5" ht="15" customHeight="1" x14ac:dyDescent="0.35">
      <c r="A5" s="3" t="s">
        <v>16</v>
      </c>
      <c r="B5" s="3" t="e">
        <f>COUNTIF('Application Tracker'!#REF!,A5)</f>
        <v>#REF!</v>
      </c>
      <c r="D5" s="3" t="s">
        <v>148</v>
      </c>
      <c r="E5" s="3">
        <f>COUNTIF('Application Tracker'!$B$2:$B$111,D5)</f>
        <v>1</v>
      </c>
    </row>
    <row r="6" spans="1:5" ht="15" customHeight="1" x14ac:dyDescent="0.35">
      <c r="A6" s="3" t="s">
        <v>152</v>
      </c>
      <c r="B6" s="3" t="e">
        <f>COUNTIF('Application Tracker'!#REF!,A6)</f>
        <v>#REF!</v>
      </c>
      <c r="D6" s="3" t="s">
        <v>83</v>
      </c>
      <c r="E6" s="3">
        <f>COUNTIF('Application Tracker'!$B$2:$B$111,D6)</f>
        <v>1</v>
      </c>
    </row>
    <row r="7" spans="1:5" ht="15" customHeight="1" x14ac:dyDescent="0.35">
      <c r="A7" s="3" t="s">
        <v>153</v>
      </c>
      <c r="B7" s="3" t="e">
        <f>COUNTIF('Application Tracker'!#REF!,A7)</f>
        <v>#REF!</v>
      </c>
      <c r="D7" s="3" t="s">
        <v>78</v>
      </c>
      <c r="E7" s="3">
        <f>COUNTIF('Application Tracker'!$B$2:$B$111,D7)</f>
        <v>2</v>
      </c>
    </row>
    <row r="8" spans="1:5" ht="15" customHeight="1" x14ac:dyDescent="0.35">
      <c r="A8" s="3" t="s">
        <v>154</v>
      </c>
      <c r="B8" s="3" t="e">
        <f>COUNTIF('Application Tracker'!#REF!,A8)</f>
        <v>#REF!</v>
      </c>
      <c r="D8" s="3" t="s">
        <v>38</v>
      </c>
      <c r="E8" s="3">
        <f>COUNTIF('Application Tracker'!$B$2:$B$111,D8)</f>
        <v>12</v>
      </c>
    </row>
    <row r="9" spans="1:5" ht="15" customHeight="1" x14ac:dyDescent="0.35">
      <c r="A9" s="3" t="s">
        <v>155</v>
      </c>
      <c r="B9" s="3" t="e">
        <f>COUNTIF('Application Tracker'!#REF!,A9)</f>
        <v>#REF!</v>
      </c>
      <c r="D9" s="3" t="s">
        <v>99</v>
      </c>
      <c r="E9" s="3">
        <f>COUNTIF('Application Tracker'!$B$2:$B$111,D9)</f>
        <v>3</v>
      </c>
    </row>
    <row r="10" spans="1:5" ht="15" customHeight="1" x14ac:dyDescent="0.35">
      <c r="A10" s="3" t="s">
        <v>156</v>
      </c>
      <c r="B10" s="3" t="e">
        <f>COUNTIF('Application Tracker'!#REF!,A10)</f>
        <v>#REF!</v>
      </c>
      <c r="D10" s="3" t="s">
        <v>141</v>
      </c>
      <c r="E10" s="3">
        <f>COUNTIF('Application Tracker'!$B$2:$B$111,D10)</f>
        <v>1</v>
      </c>
    </row>
    <row r="11" spans="1:5" ht="15" customHeight="1" x14ac:dyDescent="0.35">
      <c r="A11" s="3" t="s">
        <v>157</v>
      </c>
      <c r="B11" s="3" t="e">
        <f>COUNTIF('Application Tracker'!#REF!,A11)</f>
        <v>#REF!</v>
      </c>
      <c r="D11" s="3" t="s">
        <v>102</v>
      </c>
      <c r="E11" s="3">
        <f>COUNTIF('Application Tracker'!$B$2:$B$111,D11)</f>
        <v>1</v>
      </c>
    </row>
    <row r="12" spans="1:5" ht="15" customHeight="1" x14ac:dyDescent="0.35">
      <c r="A12" s="3" t="s">
        <v>158</v>
      </c>
      <c r="B12" s="3" t="e">
        <f>COUNTIF('Application Tracker'!#REF!,A12)</f>
        <v>#REF!</v>
      </c>
      <c r="D12" s="3" t="s">
        <v>90</v>
      </c>
      <c r="E12" s="3">
        <f>COUNTIF('Application Tracker'!$B$2:$B$111,D12)</f>
        <v>1</v>
      </c>
    </row>
    <row r="13" spans="1:5" ht="15" customHeight="1" x14ac:dyDescent="0.35">
      <c r="A13" s="3" t="s">
        <v>159</v>
      </c>
      <c r="B13" s="3" t="e">
        <f>COUNTIF('Application Tracker'!#REF!,A13)</f>
        <v>#REF!</v>
      </c>
      <c r="D13" s="3" t="s">
        <v>119</v>
      </c>
      <c r="E13" s="3">
        <f>COUNTIF('Application Tracker'!$B$2:$B$111,D13)</f>
        <v>1</v>
      </c>
    </row>
    <row r="14" spans="1:5" ht="15" customHeight="1" x14ac:dyDescent="0.35">
      <c r="A14" s="6" t="s">
        <v>160</v>
      </c>
      <c r="B14" s="6">
        <f>COUNTA('Application Tracker'!$A$2:$A$111)</f>
        <v>86</v>
      </c>
      <c r="D14" s="3" t="s">
        <v>104</v>
      </c>
      <c r="E14" s="3">
        <f>COUNTIF('Application Tracker'!$B$2:$B$111,D14)</f>
        <v>2</v>
      </c>
    </row>
    <row r="15" spans="1:5" ht="15" customHeight="1" x14ac:dyDescent="0.35">
      <c r="A15" s="4" t="s">
        <v>161</v>
      </c>
      <c r="B15" s="4">
        <v>32</v>
      </c>
      <c r="D15" s="3" t="s">
        <v>81</v>
      </c>
      <c r="E15" s="3">
        <f>COUNTIF('Application Tracker'!$B$2:$B$111,D15)</f>
        <v>3</v>
      </c>
    </row>
    <row r="16" spans="1:5" ht="15" customHeight="1" x14ac:dyDescent="0.35">
      <c r="D16" s="3" t="s">
        <v>86</v>
      </c>
      <c r="E16" s="3">
        <f>COUNTIF('Application Tracker'!$B$2:$B$111,D16)</f>
        <v>1</v>
      </c>
    </row>
    <row r="17" spans="4:5" ht="15" customHeight="1" x14ac:dyDescent="0.35">
      <c r="D17" s="3" t="s">
        <v>96</v>
      </c>
      <c r="E17" s="3">
        <f>COUNTIF('Application Tracker'!$B$2:$B$111,D17)</f>
        <v>1</v>
      </c>
    </row>
    <row r="18" spans="4:5" ht="15" customHeight="1" x14ac:dyDescent="0.35">
      <c r="D18" s="3" t="s">
        <v>52</v>
      </c>
      <c r="E18" s="3">
        <f>COUNTIF('Application Tracker'!$B$2:$B$111,D18)</f>
        <v>2</v>
      </c>
    </row>
    <row r="19" spans="4:5" ht="15" customHeight="1" x14ac:dyDescent="0.35">
      <c r="D19" s="3" t="s">
        <v>93</v>
      </c>
      <c r="E19" s="3">
        <f>COUNTIF('Application Tracker'!$B$2:$B$111,D19)</f>
        <v>1</v>
      </c>
    </row>
    <row r="20" spans="4:5" ht="15" customHeight="1" x14ac:dyDescent="0.35">
      <c r="D20" s="3" t="s">
        <v>146</v>
      </c>
      <c r="E20" s="3">
        <f>COUNTIF('Application Tracker'!$B$2:$B$111,D20)</f>
        <v>1</v>
      </c>
    </row>
    <row r="21" spans="4:5" ht="15" customHeight="1" x14ac:dyDescent="0.35">
      <c r="D21" s="3" t="s">
        <v>61</v>
      </c>
      <c r="E21" s="3">
        <f>COUNTIF('Application Tracker'!$B$2:$B$111,D21)</f>
        <v>6</v>
      </c>
    </row>
    <row r="22" spans="4:5" ht="15" customHeight="1" x14ac:dyDescent="0.35">
      <c r="D22" s="3" t="s">
        <v>124</v>
      </c>
      <c r="E22" s="3">
        <f>COUNTIF('Application Tracker'!$B$2:$B$111,D22)</f>
        <v>1</v>
      </c>
    </row>
    <row r="23" spans="4:5" ht="15" customHeight="1" x14ac:dyDescent="0.35">
      <c r="D23" s="3" t="s">
        <v>122</v>
      </c>
      <c r="E23" s="3">
        <f>COUNTIF('Application Tracker'!$B$2:$B$111,D23)</f>
        <v>1</v>
      </c>
    </row>
    <row r="24" spans="4:5" ht="15" customHeight="1" x14ac:dyDescent="0.35">
      <c r="D24" s="3" t="s">
        <v>117</v>
      </c>
      <c r="E24" s="3">
        <f>COUNTIF('Application Tracker'!$B$2:$B$111,D24)</f>
        <v>1</v>
      </c>
    </row>
    <row r="25" spans="4:5" ht="15" customHeight="1" x14ac:dyDescent="0.35">
      <c r="D25" s="3" t="s">
        <v>49</v>
      </c>
      <c r="E25" s="3">
        <f>COUNTIF('Application Tracker'!$B$2:$B$111,D25)</f>
        <v>1</v>
      </c>
    </row>
    <row r="26" spans="4:5" ht="15" customHeight="1" x14ac:dyDescent="0.35">
      <c r="D26" s="3" t="s">
        <v>139</v>
      </c>
      <c r="E26" s="3">
        <f>COUNTIF('Application Tracker'!$B$2:$B$111,D26)</f>
        <v>1</v>
      </c>
    </row>
    <row r="27" spans="4:5" x14ac:dyDescent="0.35">
      <c r="D27" s="3" t="s">
        <v>35</v>
      </c>
      <c r="E27" s="3">
        <f>COUNTIF('Application Tracker'!$B$2:$B$111,D27)</f>
        <v>1</v>
      </c>
    </row>
    <row r="28" spans="4:5" x14ac:dyDescent="0.35">
      <c r="D28" s="3" t="s">
        <v>32</v>
      </c>
      <c r="E28" s="3">
        <f>COUNTIF('Application Tracker'!$B$2:$B$111,D28)</f>
        <v>2</v>
      </c>
    </row>
    <row r="29" spans="4:5" x14ac:dyDescent="0.35">
      <c r="D29" s="3" t="s">
        <v>54</v>
      </c>
      <c r="E29" s="3">
        <f>COUNTIF('Application Tracker'!$B$2:$B$111,D29)</f>
        <v>7</v>
      </c>
    </row>
    <row r="30" spans="4:5" x14ac:dyDescent="0.35">
      <c r="D30" s="3" t="s">
        <v>76</v>
      </c>
      <c r="E30" s="3">
        <f>COUNTIF('Application Tracker'!$B$2:$B$111,D30)</f>
        <v>1</v>
      </c>
    </row>
    <row r="31" spans="4:5" x14ac:dyDescent="0.35">
      <c r="D31" s="3" t="s">
        <v>133</v>
      </c>
      <c r="E31" s="3">
        <f>COUNTIF('Application Tracker'!$B$2:$B$111,D31)</f>
        <v>1</v>
      </c>
    </row>
    <row r="32" spans="4:5" x14ac:dyDescent="0.35">
      <c r="D32" s="3" t="s">
        <v>68</v>
      </c>
      <c r="E32" s="3">
        <f>COUNTIF('Application Tracker'!$B$2:$B$111,D32)</f>
        <v>7</v>
      </c>
    </row>
    <row r="33" spans="4:5" x14ac:dyDescent="0.35">
      <c r="D33" s="3" t="s">
        <v>27</v>
      </c>
      <c r="E33" s="3">
        <f>COUNTIF('Application Tracker'!$B$2:$B$111,D33)</f>
        <v>3</v>
      </c>
    </row>
    <row r="34" spans="4:5" x14ac:dyDescent="0.35">
      <c r="D34" s="3" t="s">
        <v>14</v>
      </c>
      <c r="E34" s="3">
        <f>COUNTIF('Application Tracker'!$B$2:$B$111,D34)</f>
        <v>12</v>
      </c>
    </row>
    <row r="35" spans="4:5" x14ac:dyDescent="0.35">
      <c r="D35" s="3" t="s">
        <v>128</v>
      </c>
      <c r="E35" s="3">
        <f>COUNTIF('Application Tracker'!$B$2:$B$111,D35)</f>
        <v>1</v>
      </c>
    </row>
    <row r="36" spans="4:5" x14ac:dyDescent="0.35">
      <c r="D36" s="3" t="s">
        <v>29</v>
      </c>
      <c r="E36" s="3">
        <f>COUNTIF('Application Tracker'!$B$2:$B$111,D36)</f>
        <v>2</v>
      </c>
    </row>
    <row r="37" spans="4:5" x14ac:dyDescent="0.35">
      <c r="D37" s="3" t="s">
        <v>137</v>
      </c>
      <c r="E37" s="3">
        <f>COUNTIF('Application Tracker'!$B$2:$B$111,D37)</f>
        <v>1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zoomScaleNormal="100" workbookViewId="0"/>
  </sheetViews>
  <sheetFormatPr defaultColWidth="8.6328125" defaultRowHeight="14.5" x14ac:dyDescent="0.35"/>
  <cols>
    <col min="1" max="1" width="22" customWidth="1"/>
    <col min="2" max="2" width="72" customWidth="1"/>
  </cols>
  <sheetData>
    <row r="1" spans="1:2" ht="17.25" customHeight="1" x14ac:dyDescent="0.4">
      <c r="A1" s="2" t="s">
        <v>162</v>
      </c>
      <c r="B1" s="2"/>
    </row>
    <row r="3" spans="1:2" ht="33.75" customHeight="1" x14ac:dyDescent="0.35">
      <c r="A3" s="7" t="s">
        <v>163</v>
      </c>
      <c r="B3" s="8" t="s">
        <v>164</v>
      </c>
    </row>
    <row r="4" spans="1:2" ht="33.75" customHeight="1" x14ac:dyDescent="0.35">
      <c r="A4" s="7" t="s">
        <v>3</v>
      </c>
      <c r="B4" s="8" t="s">
        <v>165</v>
      </c>
    </row>
    <row r="5" spans="1:2" ht="33.75" customHeight="1" x14ac:dyDescent="0.35">
      <c r="A5" s="7" t="s">
        <v>166</v>
      </c>
      <c r="B5" s="8" t="s">
        <v>167</v>
      </c>
    </row>
    <row r="6" spans="1:2" ht="33.75" customHeight="1" x14ac:dyDescent="0.35">
      <c r="A6" s="7" t="s">
        <v>4</v>
      </c>
      <c r="B6" s="8" t="s">
        <v>168</v>
      </c>
    </row>
    <row r="7" spans="1:2" ht="33.75" customHeight="1" x14ac:dyDescent="0.35">
      <c r="A7" s="7" t="s">
        <v>5</v>
      </c>
      <c r="B7" s="8" t="s">
        <v>169</v>
      </c>
    </row>
    <row r="8" spans="1:2" ht="33.75" customHeight="1" x14ac:dyDescent="0.35">
      <c r="A8" s="7" t="s">
        <v>6</v>
      </c>
      <c r="B8" s="8" t="s">
        <v>170</v>
      </c>
    </row>
    <row r="9" spans="1:2" ht="33.75" customHeight="1" x14ac:dyDescent="0.35">
      <c r="A9" s="7" t="s">
        <v>7</v>
      </c>
      <c r="B9" s="8" t="s">
        <v>171</v>
      </c>
    </row>
    <row r="10" spans="1:2" ht="33.75" customHeight="1" x14ac:dyDescent="0.35">
      <c r="A10" s="7" t="s">
        <v>8</v>
      </c>
      <c r="B10" s="8" t="s">
        <v>172</v>
      </c>
    </row>
    <row r="11" spans="1:2" ht="33.75" customHeight="1" x14ac:dyDescent="0.35">
      <c r="A11" s="7" t="s">
        <v>9</v>
      </c>
      <c r="B11" s="8" t="s">
        <v>173</v>
      </c>
    </row>
    <row r="12" spans="1:2" ht="33.75" customHeight="1" x14ac:dyDescent="0.35">
      <c r="A12" s="7" t="s">
        <v>10</v>
      </c>
      <c r="B12" s="8" t="s">
        <v>174</v>
      </c>
    </row>
    <row r="13" spans="1:2" ht="33.75" customHeight="1" x14ac:dyDescent="0.35">
      <c r="A13" s="7" t="s">
        <v>11</v>
      </c>
      <c r="B13" s="8" t="s">
        <v>175</v>
      </c>
    </row>
    <row r="14" spans="1:2" ht="33.75" customHeight="1" x14ac:dyDescent="0.35">
      <c r="A14" s="7" t="s">
        <v>12</v>
      </c>
      <c r="B14" s="8" t="s">
        <v>176</v>
      </c>
    </row>
    <row r="15" spans="1:2" ht="33.75" customHeight="1" x14ac:dyDescent="0.35">
      <c r="A15" s="7" t="s">
        <v>177</v>
      </c>
      <c r="B15" s="8" t="s">
        <v>178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Application Tracker</vt:lpstr>
      <vt:lpstr>Dashboard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Srikanth Turpu [C]</cp:lastModifiedBy>
  <cp:revision>0</cp:revision>
  <dcterms:created xsi:type="dcterms:W3CDTF">2026-09-03T03:10:57Z</dcterms:created>
  <dcterms:modified xsi:type="dcterms:W3CDTF">2026-09-06T05:06:18Z</dcterms:modified>
  <dc:language>en-US</dc:language>
</cp:coreProperties>
</file>
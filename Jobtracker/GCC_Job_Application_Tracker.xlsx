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 Tracker" sheetId="1" state="visible" r:id="rId3"/>
    <sheet name="Dashboard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<sst xmlns="http://schemas.openxmlformats.org/spreadsheetml/2006/main" count="677" uniqueCount="284">
  <si>
    <t xml:space="preserve">QA Automation (Playwright/Cypress/Appium) — Hyderabad GCC Job Application Tracker</t>
  </si>
  <si>
    <t xml:space="preserve">Yellow = fill in as you apply. Orange rows = new 2025-2026 GCC entrants to Hyderabad (actively scaling — good application window).</t>
  </si>
  <si>
    <t xml:space="preserve">Company</t>
  </si>
  <si>
    <t xml:space="preserve">Sector</t>
  </si>
  <si>
    <t xml:space="preserve">HQ Country</t>
  </si>
  <si>
    <t xml:space="preserve">Year Arrived (Hyderabad)</t>
  </si>
  <si>
    <t xml:space="preserve">Role Applied For</t>
  </si>
  <si>
    <t xml:space="preserve">Portal/Source</t>
  </si>
  <si>
    <t xml:space="preserve">Date Applied</t>
  </si>
  <si>
    <t xml:space="preserve">Status</t>
  </si>
  <si>
    <t xml:space="preserve">Follow-up Date</t>
  </si>
  <si>
    <t xml:space="preserve">Recruiter/Contact</t>
  </si>
  <si>
    <t xml:space="preserve">Tech Stack Match</t>
  </si>
  <si>
    <t xml:space="preserve">Priority</t>
  </si>
  <si>
    <t xml:space="preserve">Notes</t>
  </si>
  <si>
    <t xml:space="preserve">Microsoft</t>
  </si>
  <si>
    <t xml:space="preserve">Technology</t>
  </si>
  <si>
    <t xml:space="preserve">USA</t>
  </si>
  <si>
    <t xml:space="preserve">Not Applied</t>
  </si>
  <si>
    <t xml:space="preserve">Google</t>
  </si>
  <si>
    <t xml:space="preserve">Amazon</t>
  </si>
  <si>
    <t xml:space="preserve">Apple</t>
  </si>
  <si>
    <t xml:space="preserve">Salesforce</t>
  </si>
  <si>
    <t xml:space="preserve">Meta</t>
  </si>
  <si>
    <t xml:space="preserve">Oracle</t>
  </si>
  <si>
    <t xml:space="preserve">ServiceNow</t>
  </si>
  <si>
    <t xml:space="preserve">2014</t>
  </si>
  <si>
    <t xml:space="preserve">IBM Software Labs</t>
  </si>
  <si>
    <t xml:space="preserve">Qualcomm</t>
  </si>
  <si>
    <t xml:space="preserve">Micron Technology</t>
  </si>
  <si>
    <t xml:space="preserve">Semiconductors</t>
  </si>
  <si>
    <t xml:space="preserve">AT&amp;T</t>
  </si>
  <si>
    <t xml:space="preserve">Telecom</t>
  </si>
  <si>
    <t xml:space="preserve">T-Mobile</t>
  </si>
  <si>
    <t xml:space="preserve">2026 (expansion)</t>
  </si>
  <si>
    <t xml:space="preserve">Netflix</t>
  </si>
  <si>
    <t xml:space="preserve">Media/Tech</t>
  </si>
  <si>
    <t xml:space="preserve">2025-26 (new hub)</t>
  </si>
  <si>
    <t xml:space="preserve">Warner Bros. Discovery</t>
  </si>
  <si>
    <t xml:space="preserve">DAZN</t>
  </si>
  <si>
    <t xml:space="preserve">Media/Sports Tech</t>
  </si>
  <si>
    <t xml:space="preserve">UK</t>
  </si>
  <si>
    <t xml:space="preserve">2025</t>
  </si>
  <si>
    <t xml:space="preserve">JPMorgan Chase</t>
  </si>
  <si>
    <t xml:space="preserve">BFSI/Fintech</t>
  </si>
  <si>
    <t xml:space="preserve">Wells Fargo</t>
  </si>
  <si>
    <t xml:space="preserve">Goldman Sachs</t>
  </si>
  <si>
    <t xml:space="preserve">Vanguard</t>
  </si>
  <si>
    <t xml:space="preserve">2025 (first India GCC)</t>
  </si>
  <si>
    <t xml:space="preserve">High</t>
  </si>
  <si>
    <t xml:space="preserve">Live: QA Engineer (Automation/Manual/Mobile), 5+ yrs, Java, Appium, Selenium, API testing.</t>
  </si>
  <si>
    <t xml:space="preserve">State Street</t>
  </si>
  <si>
    <t xml:space="preserve">UBS</t>
  </si>
  <si>
    <t xml:space="preserve">Switzerland</t>
  </si>
  <si>
    <t xml:space="preserve">2026 (new site)</t>
  </si>
  <si>
    <t xml:space="preserve">Medium</t>
  </si>
  <si>
    <t xml:space="preserve">Live: QA Engineer (Manual &amp; Automation), Senior QA (Automation). Only ~7 roles in Hyderabad (more in Pune/Mumbai).</t>
  </si>
  <si>
    <t xml:space="preserve">HSBC</t>
  </si>
  <si>
    <t xml:space="preserve">Lloyds Banking Group</t>
  </si>
  <si>
    <t xml:space="preserve">Bank of America</t>
  </si>
  <si>
    <t xml:space="preserve">Chubb</t>
  </si>
  <si>
    <t xml:space="preserve">Insurance</t>
  </si>
  <si>
    <t xml:space="preserve">Switzerland/USA</t>
  </si>
  <si>
    <t xml:space="preserve">Western Union</t>
  </si>
  <si>
    <t xml:space="preserve">Fintech</t>
  </si>
  <si>
    <t xml:space="preserve">Novartis</t>
  </si>
  <si>
    <t xml:space="preserve">Pharma/Life Sciences</t>
  </si>
  <si>
    <t xml:space="preserve">Sanofi</t>
  </si>
  <si>
    <t xml:space="preserve">France</t>
  </si>
  <si>
    <t xml:space="preserve">2026 (major expansion)</t>
  </si>
  <si>
    <t xml:space="preserve">Eli Lilly</t>
  </si>
  <si>
    <t xml:space="preserve">Bristol Myers Squibb</t>
  </si>
  <si>
    <t xml:space="preserve">2023</t>
  </si>
  <si>
    <t xml:space="preserve">Amgen</t>
  </si>
  <si>
    <t xml:space="preserve">2024</t>
  </si>
  <si>
    <t xml:space="preserve">UnitedHealth Group / Optum</t>
  </si>
  <si>
    <t xml:space="preserve">Healthcare</t>
  </si>
  <si>
    <t xml:space="preserve">Elevance Health (Carelon)</t>
  </si>
  <si>
    <t xml:space="preserve">Cohere Health</t>
  </si>
  <si>
    <t xml:space="preserve">2025-26 (first intl. centre)</t>
  </si>
  <si>
    <t xml:space="preserve">HCA Healthcare</t>
  </si>
  <si>
    <t xml:space="preserve">2025 ($75M first GCC)</t>
  </si>
  <si>
    <t xml:space="preserve">Live: Sr. SDET — Selenium (UI), Postman/Newman (API), Jenkins/GitHub Actions/Azure DevOps CI/CD.</t>
  </si>
  <si>
    <t xml:space="preserve">Abbott</t>
  </si>
  <si>
    <t xml:space="preserve">Opella Healthcare</t>
  </si>
  <si>
    <t xml:space="preserve">McDonald's</t>
  </si>
  <si>
    <t xml:space="preserve">Retail/Consumer</t>
  </si>
  <si>
    <t xml:space="preserve">PepsiCo</t>
  </si>
  <si>
    <t xml:space="preserve">Costco</t>
  </si>
  <si>
    <t xml:space="preserve">2025-26 (announced)</t>
  </si>
  <si>
    <t xml:space="preserve">L'Oreal</t>
  </si>
  <si>
    <t xml:space="preserve">2026 (first India GCC)</t>
  </si>
  <si>
    <t xml:space="preserve">Heineken</t>
  </si>
  <si>
    <t xml:space="preserve">Netherlands</t>
  </si>
  <si>
    <t xml:space="preserve">Nestle</t>
  </si>
  <si>
    <t xml:space="preserve">2025-26 (first India GCC)</t>
  </si>
  <si>
    <t xml:space="preserve">JLL</t>
  </si>
  <si>
    <t xml:space="preserve">Professional Services</t>
  </si>
  <si>
    <t xml:space="preserve">2026</t>
  </si>
  <si>
    <t xml:space="preserve">Southwest Airlines</t>
  </si>
  <si>
    <t xml:space="preserve">Aviation</t>
  </si>
  <si>
    <t xml:space="preserve">American Airlines</t>
  </si>
  <si>
    <t xml:space="preserve">Expanding (400 to ~800 by 2027)</t>
  </si>
  <si>
    <t xml:space="preserve">Honeywell</t>
  </si>
  <si>
    <t xml:space="preserve">Engineering/Industrial</t>
  </si>
  <si>
    <t xml:space="preserve">Hyundai</t>
  </si>
  <si>
    <t xml:space="preserve">Automotive</t>
  </si>
  <si>
    <t xml:space="preserve">South Korea</t>
  </si>
  <si>
    <t xml:space="preserve">Garmin</t>
  </si>
  <si>
    <t xml:space="preserve">Engineering/Tech</t>
  </si>
  <si>
    <t xml:space="preserve">ArcelorMittal (AMGBT)</t>
  </si>
  <si>
    <t xml:space="preserve">Luxembourg</t>
  </si>
  <si>
    <t xml:space="preserve">BASF</t>
  </si>
  <si>
    <t xml:space="preserve">Chemicals</t>
  </si>
  <si>
    <t xml:space="preserve">Germany</t>
  </si>
  <si>
    <t xml:space="preserve">2026 (new hub, per Nasscom H1'26)</t>
  </si>
  <si>
    <t xml:space="preserve">FactSet</t>
  </si>
  <si>
    <t xml:space="preserve">Fintech/Data</t>
  </si>
  <si>
    <t xml:space="preserve">Revolut</t>
  </si>
  <si>
    <t xml:space="preserve">Clean Harbors</t>
  </si>
  <si>
    <t xml:space="preserve">Environmental Services</t>
  </si>
  <si>
    <t xml:space="preserve">2017 (established; still expanding)</t>
  </si>
  <si>
    <t xml:space="preserve">Live: Sr Test Automation Engineer, 6-10 yrs band — matches seniority level.</t>
  </si>
  <si>
    <t xml:space="preserve">Charles Schwab</t>
  </si>
  <si>
    <t xml:space="preserve">Live: Manager SDET Automation Testing + Manual Testing QA roles. 55-76 open Hyderabad roles overall.</t>
  </si>
  <si>
    <t xml:space="preserve">MetLife</t>
  </si>
  <si>
    <t xml:space="preserve">BFSI/Insurance</t>
  </si>
  <si>
    <t xml:space="preserve">2025-26 (Hyderabad expansion)</t>
  </si>
  <si>
    <t xml:space="preserve">Live: Sr. SDET I / SDET II. Explicitly adopting GenAI test tooling — matches AI QA Agent experience.</t>
  </si>
  <si>
    <t xml:space="preserve">Voya Financial</t>
  </si>
  <si>
    <t xml:space="preserve">Checked Sep 2026: no clear live Hyderabad QA/SDET posting found. Company confirmed present in Hyderabad — recheck careers page periodically.</t>
  </si>
  <si>
    <t xml:space="preserve">Lonza Group</t>
  </si>
  <si>
    <t xml:space="preserve">Biopharma/CDMO</t>
  </si>
  <si>
    <t xml:space="preserve">2026 (announced Mar 2026)</t>
  </si>
  <si>
    <t xml:space="preserve">Sonatype</t>
  </si>
  <si>
    <t xml:space="preserve">Cybersecurity/Tech</t>
  </si>
  <si>
    <t xml:space="preserve">2025-26 (new GCC)</t>
  </si>
  <si>
    <t xml:space="preserve">Astera Labs</t>
  </si>
  <si>
    <t xml:space="preserve">2026 (new centre)</t>
  </si>
  <si>
    <t xml:space="preserve">Bluepace</t>
  </si>
  <si>
    <t xml:space="preserve">2026 (new GCC)</t>
  </si>
  <si>
    <t xml:space="preserve">Zurich Insurance</t>
  </si>
  <si>
    <t xml:space="preserve">2025-26 (new entrant)</t>
  </si>
  <si>
    <t xml:space="preserve">Live: QA role, 5-8 yrs, Python/ETL/Automation Testing — leans more data/Python than UI automation.</t>
  </si>
  <si>
    <t xml:space="preserve">Roche Diagnostics</t>
  </si>
  <si>
    <t xml:space="preserve">ABB</t>
  </si>
  <si>
    <t xml:space="preserve">Regeneron</t>
  </si>
  <si>
    <t xml:space="preserve">Silicon Labs</t>
  </si>
  <si>
    <t xml:space="preserve">Reckitt</t>
  </si>
  <si>
    <t xml:space="preserve">Uber</t>
  </si>
  <si>
    <t xml:space="preserve">Dai-ichi Life Group</t>
  </si>
  <si>
    <t xml:space="preserve">Japan</t>
  </si>
  <si>
    <t xml:space="preserve">2025 (first GCC outside Japan, via BOT w/ Capgemini)</t>
  </si>
  <si>
    <t xml:space="preserve">Octave Intelligence</t>
  </si>
  <si>
    <t xml:space="preserve">Industrial Software/Tech</t>
  </si>
  <si>
    <t xml:space="preserve">2026 (new, scaling to 2,000 engineers)</t>
  </si>
  <si>
    <t xml:space="preserve">Live: Senior Software Engineer, SDET. Playwright/Selenium/WebdriverIO + agentic AI testing exposure wanted — excellent match.</t>
  </si>
  <si>
    <t xml:space="preserve">CyberArk</t>
  </si>
  <si>
    <t xml:space="preserve">Cybersecurity</t>
  </si>
  <si>
    <t xml:space="preserve">USA/Israel</t>
  </si>
  <si>
    <t xml:space="preserve">Established, active hiring</t>
  </si>
  <si>
    <t xml:space="preserve">Live: Senior SDET (QA Automation Engineer). Python, Pytest, Jenkins, Windows automation focus.</t>
  </si>
  <si>
    <t xml:space="preserve">Syneos Health</t>
  </si>
  <si>
    <t xml:space="preserve">Healthcare/Life Sciences CRO</t>
  </si>
  <si>
    <t xml:space="preserve">2026 (new AI hub, largest office in Asia)</t>
  </si>
  <si>
    <t xml:space="preserve">Live: Validation &amp; QA Analyst + other QA/data/tech roles. Building GenAI clinical tools — matches your AI QA Agent work.</t>
  </si>
  <si>
    <t xml:space="preserve">Availity</t>
  </si>
  <si>
    <t xml:space="preserve">Healthcare IT</t>
  </si>
  <si>
    <t xml:space="preserve">Expanding (tripling India workforce by 2026)</t>
  </si>
  <si>
    <t xml:space="preserve">India careers page features Senior QA Engineer testimonial — active QA hiring signal, healthcare IT domain.</t>
  </si>
  <si>
    <t xml:space="preserve">Temenos</t>
  </si>
  <si>
    <t xml:space="preserve">BFSI/Banking Software</t>
  </si>
  <si>
    <t xml:space="preserve">Established</t>
  </si>
  <si>
    <t xml:space="preserve">Test automation skill combos (Selenium, Playwright, Tricentis) appear in Hyderabad listings, but no single confirmed live QA JD found.</t>
  </si>
  <si>
    <t xml:space="preserve">Blackbaud</t>
  </si>
  <si>
    <t xml:space="preserve">Technology/Nonprofit Software</t>
  </si>
  <si>
    <t xml:space="preserve">2025 (Nov 2025, new Hyderabad office)</t>
  </si>
  <si>
    <t xml:space="preserve">Low</t>
  </si>
  <si>
    <t xml:space="preserve">Checked Sep 2026: new office focuses on AI/cloud dev; no QA-specific opening surfaced yet. Recheck periodically.</t>
  </si>
  <si>
    <t xml:space="preserve">Deutsche Börse Group</t>
  </si>
  <si>
    <t xml:space="preserve">2025 (Aug 2025, new GCC)</t>
  </si>
  <si>
    <t xml:space="preserve">Checked Sep 2026: postings skew Java/dev-heavy; no explicit QA/SDET opening surfaced yet. Recheck periodically.</t>
  </si>
  <si>
    <t xml:space="preserve">BlackBerry</t>
  </si>
  <si>
    <t xml:space="preserve">Canada</t>
  </si>
  <si>
    <t xml:space="preserve">Checked Sep 2026: no clear live Hyderabad QA/SDET posting found. Recheck periodically.</t>
  </si>
  <si>
    <t xml:space="preserve">Storable</t>
  </si>
  <si>
    <t xml:space="preserve">PropTech/Software</t>
  </si>
  <si>
    <t xml:space="preserve">Align Technology</t>
  </si>
  <si>
    <t xml:space="preserve">Medical Devices</t>
  </si>
  <si>
    <t xml:space="preserve">Mondee Holdings</t>
  </si>
  <si>
    <t xml:space="preserve">Travel Technology</t>
  </si>
  <si>
    <t xml:space="preserve">FedEx</t>
  </si>
  <si>
    <t xml:space="preserve">Logistics</t>
  </si>
  <si>
    <t xml:space="preserve">Sutherland</t>
  </si>
  <si>
    <t xml:space="preserve">BPO/Technology Services</t>
  </si>
  <si>
    <t xml:space="preserve">Checked Sep 2026: BPO-led, less SDET-heavy hiring profile. Recheck periodically.</t>
  </si>
  <si>
    <t xml:space="preserve">IKEA</t>
  </si>
  <si>
    <t xml:space="preserve">Retail</t>
  </si>
  <si>
    <t xml:space="preserve">Sweden/Netherlands</t>
  </si>
  <si>
    <t xml:space="preserve">Established (Hyderabad presence smaller than Bengaluru)</t>
  </si>
  <si>
    <t xml:space="preserve">Compass Group</t>
  </si>
  <si>
    <t xml:space="preserve">Food Services</t>
  </si>
  <si>
    <t xml:space="preserve">Expanding India workforce</t>
  </si>
  <si>
    <t xml:space="preserve">Boeing</t>
  </si>
  <si>
    <t xml:space="preserve">Aerospace</t>
  </si>
  <si>
    <t xml:space="preserve">Established (Adibatla facility)</t>
  </si>
  <si>
    <t xml:space="preserve">Checked Sep 2026: engineering/simulation-focused; no clear QA/SDET posting surfaced. Recheck periodically.</t>
  </si>
  <si>
    <t xml:space="preserve">LPL Financial</t>
  </si>
  <si>
    <t xml:space="preserve">GCC (recent, scaling)</t>
  </si>
  <si>
    <t xml:space="preserve">Live: Senior Engineer - SDET, Platform Modernization. Strong match — SDET title, modernization/QA ownership.</t>
  </si>
  <si>
    <t xml:space="preserve">The Hartford</t>
  </si>
  <si>
    <t xml:space="preserve">Insurance/BFSI</t>
  </si>
  <si>
    <t xml:space="preserve">Live: QA Automation Engineer (Enterprise Digital Solutions) — explicitly wants TypeScript/JavaScript. Also Senior Quality Engineer role architecting UI/API/data/workflow automation for Billing platform.</t>
  </si>
  <si>
    <t xml:space="preserve">Kyndryl</t>
  </si>
  <si>
    <t xml:space="preserve">IT Services/Tech</t>
  </si>
  <si>
    <t xml:space="preserve">Established (IBM spin-off)</t>
  </si>
  <si>
    <t xml:space="preserve">Automation-adjacent roles exist (PowerShell/Azure Automation Specialist, DevOps) but skew infra/mainframe, not core SDET/QA.</t>
  </si>
  <si>
    <t xml:space="preserve">Truist Financial</t>
  </si>
  <si>
    <t xml:space="preserve">2026 (BOT via Infosys, ramping)</t>
  </si>
  <si>
    <t xml:space="preserve">$500M Infosys BOT deal, ~4,500 employees planned, 2,000 in phase 1. Hiring expected in coming months — too early for live QA postings yet, worth rechecking soon.</t>
  </si>
  <si>
    <t xml:space="preserve">DESRI</t>
  </si>
  <si>
    <t xml:space="preserve">Renewable Energy</t>
  </si>
  <si>
    <t xml:space="preserve">2025 (new GCC facility, Sept 2025)</t>
  </si>
  <si>
    <t xml:space="preserve">PharmaACE</t>
  </si>
  <si>
    <t xml:space="preserve">Pharma Consulting</t>
  </si>
  <si>
    <t xml:space="preserve">2023 (200+ employees)</t>
  </si>
  <si>
    <t xml:space="preserve">Coupang</t>
  </si>
  <si>
    <t xml:space="preserve">E-Commerce/Technology</t>
  </si>
  <si>
    <t xml:space="preserve">2025-26 (new Hyderabad office)</t>
  </si>
  <si>
    <t xml:space="preserve">Sonoco</t>
  </si>
  <si>
    <t xml:space="preserve">Packaging/Manufacturing</t>
  </si>
  <si>
    <t xml:space="preserve">2025-26 (new GCC + Finance CoE)</t>
  </si>
  <si>
    <t xml:space="preserve">Nasuni</t>
  </si>
  <si>
    <t xml:space="preserve">Data/Cloud Storage Tech</t>
  </si>
  <si>
    <t xml:space="preserve">Expanding (R&amp;D centre growth)</t>
  </si>
  <si>
    <t xml:space="preserve">GI Outsourcing</t>
  </si>
  <si>
    <t xml:space="preserve">Shell</t>
  </si>
  <si>
    <t xml:space="preserve">Energy/Oil &amp; Gas</t>
  </si>
  <si>
    <t xml:space="preserve">Netherlands/UK</t>
  </si>
  <si>
    <t xml:space="preserve">Expanding GCC footprint</t>
  </si>
  <si>
    <t xml:space="preserve">Protolabs</t>
  </si>
  <si>
    <t xml:space="preserve">Manufacturing Tech</t>
  </si>
  <si>
    <t xml:space="preserve">2025-26 (new India GCC)</t>
  </si>
  <si>
    <t xml:space="preserve">CGI</t>
  </si>
  <si>
    <t xml:space="preserve">IT Services/Consulting</t>
  </si>
  <si>
    <t xml:space="preserve">ABeam Consulting</t>
  </si>
  <si>
    <t xml:space="preserve">Technology Consulting</t>
  </si>
  <si>
    <t xml:space="preserve">Expanding India presence</t>
  </si>
  <si>
    <t xml:space="preserve">Ferguson</t>
  </si>
  <si>
    <t xml:space="preserve">Building Products Distribution</t>
  </si>
  <si>
    <t xml:space="preserve">UK/USA</t>
  </si>
  <si>
    <t xml:space="preserve">Established/expanding</t>
  </si>
  <si>
    <t xml:space="preserve">Deepwatch</t>
  </si>
  <si>
    <t xml:space="preserve">Cybersecurity (MDR)</t>
  </si>
  <si>
    <t xml:space="preserve">Application Tracker — Dashboard</t>
  </si>
  <si>
    <t xml:space="preserve">Auto-updates from 'Application Tracker' sheet. Do not edit formula cells.</t>
  </si>
  <si>
    <t xml:space="preserve">Count</t>
  </si>
  <si>
    <t xml:space="preserve">Applied</t>
  </si>
  <si>
    <t xml:space="preserve">Screening</t>
  </si>
  <si>
    <t xml:space="preserve">Interview Scheduled</t>
  </si>
  <si>
    <t xml:space="preserve">Interview Completed</t>
  </si>
  <si>
    <t xml:space="preserve">Offer</t>
  </si>
  <si>
    <t xml:space="preserve">Rejected</t>
  </si>
  <si>
    <t xml:space="preserve">No Response</t>
  </si>
  <si>
    <t xml:space="preserve">Withdrawn</t>
  </si>
  <si>
    <t xml:space="preserve">Total Companies Tracked</t>
  </si>
  <si>
    <t xml:space="preserve">New 2025-26 Entrants Tracked</t>
  </si>
  <si>
    <t xml:space="preserve">How to Use This Tracker</t>
  </si>
  <si>
    <t xml:space="preserve">Company / Sector / HQ Country</t>
  </si>
  <si>
    <t xml:space="preserve">Pre-filled with 70 verified Hyderabad GCC companies from research. Add more rows at the bottom for any company you find yourself.</t>
  </si>
  <si>
    <t xml:space="preserve">When known: the year the GCC was established or most recently expanded in Hyderabad. Blank = long-established, exact year not verified from public sources.</t>
  </si>
  <si>
    <t xml:space="preserve">Orange-highlighted rows</t>
  </si>
  <si>
    <t xml:space="preserve">Companies confirmed as new to Hyderabad in 2025-2026 (or a major recent expansion). These are actively scaling headcount right now -- often the best window to apply, since roles are opening faster than they can be filled.</t>
  </si>
  <si>
    <t xml:space="preserve">e.g. SDET, QA Automation Engineer, Senior QA Engineer -- copy from the job posting.</t>
  </si>
  <si>
    <t xml:space="preserve">Dropdown: Hirist, Instahyre, LinkedIn, Naukri, Foundit, Cutshort, myjobb, Arya, Company Website, Referral, Other.</t>
  </si>
  <si>
    <t xml:space="preserve">Date you submitted the application.</t>
  </si>
  <si>
    <t xml:space="preserve">Dropdown: Not Applied -&gt; Applied -&gt; Screening -&gt; Interview Scheduled -&gt; Interview Completed -&gt; Offer / Rejected / No Response / Withdrawn.</t>
  </si>
  <si>
    <t xml:space="preserve">Set this ~7-10 days after applying; check the Dashboard weekly to see what's due.</t>
  </si>
  <si>
    <t xml:space="preserve">Name + email/LinkedIn of recruiter or referral contact, if you have one.</t>
  </si>
  <si>
    <t xml:space="preserve">Note which of your skills matched: Playwright, Cypress, Appium, TypeScript, CI/CD, etc. Helps you see which stack is landing interviews.</t>
  </si>
  <si>
    <t xml:space="preserve">Dropdown: High / Medium / Low -- rank based on fit and interest so you know where to focus follow-ups.</t>
  </si>
  <si>
    <t xml:space="preserve">Anything else -- interview feedback, salary range discussed, referral source, etc.</t>
  </si>
  <si>
    <t xml:space="preserve">Dashboard tab</t>
  </si>
  <si>
    <t xml:space="preserve">Auto-counts applications by Status and by Sector, plus a running count of new 2025-26 entrants. Updates automatically -- don't edit its formula cells directly.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</si>
</sst>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0"/>
    <col collapsed="false" customWidth="true" hidden="false" outlineLevel="0" max="5" min="5" style="1" width="24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8" min="8" style="1" width="18"/>
    <col collapsed="false" customWidth="true" hidden="false" outlineLevel="0" max="9" min="9" style="1" width="13"/>
    <col collapsed="false" customWidth="true" hidden="false" outlineLevel="0" max="10" min="10" style="1" width="20"/>
    <col collapsed="false" customWidth="true" hidden="false" outlineLevel="0" max="11" min="11" style="1" width="22"/>
    <col collapsed="false" customWidth="true" hidden="false" outlineLevel="0" max="12" min="12" style="1" width="10"/>
    <col collapsed="false" customWidth="true" hidden="false" outlineLevel="0" max="13" min="13" style="1" width="3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15" hidden="false" customHeight="true" outlineLevel="0" collapsed="false">
      <c r="A5" s="5" t="s">
        <v>15</v>
      </c>
      <c r="B5" s="5" t="s">
        <v>16</v>
      </c>
      <c r="C5" s="5" t="s">
        <v>17</v>
      </c>
      <c r="D5" s="5"/>
      <c r="E5" s="6"/>
      <c r="F5" s="6"/>
      <c r="G5" s="7"/>
      <c r="H5" s="5" t="s">
        <v>18</v>
      </c>
      <c r="I5" s="7"/>
      <c r="J5" s="6"/>
      <c r="K5" s="6"/>
      <c r="L5" s="6"/>
      <c r="M5" s="6"/>
    </row>
    <row r="6" customFormat="false" ht="15" hidden="false" customHeight="true" outlineLevel="0" collapsed="false">
      <c r="A6" s="5" t="s">
        <v>19</v>
      </c>
      <c r="B6" s="5" t="s">
        <v>16</v>
      </c>
      <c r="C6" s="5" t="s">
        <v>17</v>
      </c>
      <c r="D6" s="5"/>
      <c r="E6" s="6"/>
      <c r="F6" s="6"/>
      <c r="G6" s="7"/>
      <c r="H6" s="5" t="s">
        <v>18</v>
      </c>
      <c r="I6" s="7"/>
      <c r="J6" s="6"/>
      <c r="K6" s="6"/>
      <c r="L6" s="6"/>
      <c r="M6" s="6"/>
    </row>
    <row r="7" customFormat="false" ht="15" hidden="false" customHeight="true" outlineLevel="0" collapsed="false">
      <c r="A7" s="5" t="s">
        <v>20</v>
      </c>
      <c r="B7" s="5" t="s">
        <v>16</v>
      </c>
      <c r="C7" s="5" t="s">
        <v>17</v>
      </c>
      <c r="D7" s="5"/>
      <c r="E7" s="6"/>
      <c r="F7" s="6"/>
      <c r="G7" s="7"/>
      <c r="H7" s="5" t="s">
        <v>18</v>
      </c>
      <c r="I7" s="7"/>
      <c r="J7" s="6"/>
      <c r="K7" s="6"/>
      <c r="L7" s="6"/>
      <c r="M7" s="6"/>
    </row>
    <row r="8" customFormat="false" ht="15" hidden="false" customHeight="true" outlineLevel="0" collapsed="false">
      <c r="A8" s="5" t="s">
        <v>21</v>
      </c>
      <c r="B8" s="5" t="s">
        <v>16</v>
      </c>
      <c r="C8" s="5" t="s">
        <v>17</v>
      </c>
      <c r="D8" s="5"/>
      <c r="E8" s="6"/>
      <c r="F8" s="6"/>
      <c r="G8" s="7"/>
      <c r="H8" s="5" t="s">
        <v>18</v>
      </c>
      <c r="I8" s="7"/>
      <c r="J8" s="6"/>
      <c r="K8" s="6"/>
      <c r="L8" s="6"/>
      <c r="M8" s="6"/>
    </row>
    <row r="9" customFormat="false" ht="15" hidden="false" customHeight="true" outlineLevel="0" collapsed="false">
      <c r="A9" s="5" t="s">
        <v>22</v>
      </c>
      <c r="B9" s="5" t="s">
        <v>16</v>
      </c>
      <c r="C9" s="5" t="s">
        <v>17</v>
      </c>
      <c r="D9" s="5"/>
      <c r="E9" s="6"/>
      <c r="F9" s="6"/>
      <c r="G9" s="7"/>
      <c r="H9" s="5" t="s">
        <v>18</v>
      </c>
      <c r="I9" s="7"/>
      <c r="J9" s="6"/>
      <c r="K9" s="6"/>
      <c r="L9" s="6"/>
      <c r="M9" s="6"/>
    </row>
    <row r="10" customFormat="false" ht="15" hidden="false" customHeight="true" outlineLevel="0" collapsed="false">
      <c r="A10" s="5" t="s">
        <v>23</v>
      </c>
      <c r="B10" s="5" t="s">
        <v>16</v>
      </c>
      <c r="C10" s="5" t="s">
        <v>17</v>
      </c>
      <c r="D10" s="5"/>
      <c r="E10" s="6"/>
      <c r="F10" s="6"/>
      <c r="G10" s="7"/>
      <c r="H10" s="5" t="s">
        <v>18</v>
      </c>
      <c r="I10" s="7"/>
      <c r="J10" s="6"/>
      <c r="K10" s="6"/>
      <c r="L10" s="6"/>
      <c r="M10" s="6"/>
    </row>
    <row r="11" customFormat="false" ht="15" hidden="false" customHeight="true" outlineLevel="0" collapsed="false">
      <c r="A11" s="5" t="s">
        <v>24</v>
      </c>
      <c r="B11" s="5" t="s">
        <v>16</v>
      </c>
      <c r="C11" s="5" t="s">
        <v>17</v>
      </c>
      <c r="D11" s="5"/>
      <c r="E11" s="6"/>
      <c r="F11" s="6"/>
      <c r="G11" s="7"/>
      <c r="H11" s="5" t="s">
        <v>18</v>
      </c>
      <c r="I11" s="7"/>
      <c r="J11" s="6"/>
      <c r="K11" s="6"/>
      <c r="L11" s="6"/>
      <c r="M11" s="6"/>
    </row>
    <row r="12" customFormat="false" ht="15" hidden="false" customHeight="true" outlineLevel="0" collapsed="false">
      <c r="A12" s="5" t="s">
        <v>25</v>
      </c>
      <c r="B12" s="5" t="s">
        <v>16</v>
      </c>
      <c r="C12" s="5" t="s">
        <v>17</v>
      </c>
      <c r="D12" s="5" t="s">
        <v>26</v>
      </c>
      <c r="E12" s="6"/>
      <c r="F12" s="6"/>
      <c r="G12" s="7"/>
      <c r="H12" s="5" t="s">
        <v>18</v>
      </c>
      <c r="I12" s="7"/>
      <c r="J12" s="6"/>
      <c r="K12" s="6"/>
      <c r="L12" s="6"/>
      <c r="M12" s="6"/>
    </row>
    <row r="13" customFormat="false" ht="15" hidden="false" customHeight="true" outlineLevel="0" collapsed="false">
      <c r="A13" s="5" t="s">
        <v>27</v>
      </c>
      <c r="B13" s="5" t="s">
        <v>16</v>
      </c>
      <c r="C13" s="5" t="s">
        <v>17</v>
      </c>
      <c r="D13" s="5"/>
      <c r="E13" s="6"/>
      <c r="F13" s="6"/>
      <c r="G13" s="7"/>
      <c r="H13" s="5" t="s">
        <v>18</v>
      </c>
      <c r="I13" s="7"/>
      <c r="J13" s="6"/>
      <c r="K13" s="6"/>
      <c r="L13" s="6"/>
      <c r="M13" s="6"/>
    </row>
    <row r="14" customFormat="false" ht="15" hidden="false" customHeight="true" outlineLevel="0" collapsed="false">
      <c r="A14" s="5" t="s">
        <v>28</v>
      </c>
      <c r="B14" s="5" t="s">
        <v>16</v>
      </c>
      <c r="C14" s="5" t="s">
        <v>17</v>
      </c>
      <c r="D14" s="5"/>
      <c r="E14" s="6"/>
      <c r="F14" s="6"/>
      <c r="G14" s="7"/>
      <c r="H14" s="5" t="s">
        <v>18</v>
      </c>
      <c r="I14" s="7"/>
      <c r="J14" s="6"/>
      <c r="K14" s="6"/>
      <c r="L14" s="6"/>
      <c r="M14" s="6"/>
    </row>
    <row r="15" customFormat="false" ht="15" hidden="false" customHeight="true" outlineLevel="0" collapsed="false">
      <c r="A15" s="5" t="s">
        <v>29</v>
      </c>
      <c r="B15" s="5" t="s">
        <v>30</v>
      </c>
      <c r="C15" s="5" t="s">
        <v>17</v>
      </c>
      <c r="D15" s="5"/>
      <c r="E15" s="6"/>
      <c r="F15" s="6"/>
      <c r="G15" s="7"/>
      <c r="H15" s="5" t="s">
        <v>18</v>
      </c>
      <c r="I15" s="7"/>
      <c r="J15" s="6"/>
      <c r="K15" s="6"/>
      <c r="L15" s="6"/>
      <c r="M15" s="6"/>
    </row>
    <row r="16" customFormat="false" ht="15" hidden="false" customHeight="true" outlineLevel="0" collapsed="false">
      <c r="A16" s="5" t="s">
        <v>31</v>
      </c>
      <c r="B16" s="5" t="s">
        <v>32</v>
      </c>
      <c r="C16" s="5" t="s">
        <v>17</v>
      </c>
      <c r="D16" s="5"/>
      <c r="E16" s="6"/>
      <c r="F16" s="6"/>
      <c r="G16" s="7"/>
      <c r="H16" s="5" t="s">
        <v>18</v>
      </c>
      <c r="I16" s="7"/>
      <c r="J16" s="6"/>
      <c r="K16" s="6"/>
      <c r="L16" s="6"/>
      <c r="M16" s="6"/>
    </row>
    <row r="17" customFormat="false" ht="15" hidden="false" customHeight="true" outlineLevel="0" collapsed="false">
      <c r="A17" s="5" t="s">
        <v>33</v>
      </c>
      <c r="B17" s="5" t="s">
        <v>32</v>
      </c>
      <c r="C17" s="5" t="s">
        <v>17</v>
      </c>
      <c r="D17" s="5" t="s">
        <v>34</v>
      </c>
      <c r="E17" s="6"/>
      <c r="F17" s="6"/>
      <c r="G17" s="7"/>
      <c r="H17" s="5" t="s">
        <v>18</v>
      </c>
      <c r="I17" s="7"/>
      <c r="J17" s="6"/>
      <c r="K17" s="6"/>
      <c r="L17" s="6"/>
      <c r="M17" s="6"/>
    </row>
    <row r="18" customFormat="false" ht="15" hidden="false" customHeight="true" outlineLevel="0" collapsed="false">
      <c r="A18" s="5" t="s">
        <v>35</v>
      </c>
      <c r="B18" s="5" t="s">
        <v>36</v>
      </c>
      <c r="C18" s="5" t="s">
        <v>17</v>
      </c>
      <c r="D18" s="5" t="s">
        <v>37</v>
      </c>
      <c r="E18" s="6"/>
      <c r="F18" s="6"/>
      <c r="G18" s="7"/>
      <c r="H18" s="5" t="s">
        <v>18</v>
      </c>
      <c r="I18" s="7"/>
      <c r="J18" s="6"/>
      <c r="K18" s="6"/>
      <c r="L18" s="6"/>
      <c r="M18" s="6"/>
    </row>
    <row r="19" customFormat="false" ht="15" hidden="false" customHeight="true" outlineLevel="0" collapsed="false">
      <c r="A19" s="5" t="s">
        <v>38</v>
      </c>
      <c r="B19" s="5" t="s">
        <v>36</v>
      </c>
      <c r="C19" s="5" t="s">
        <v>17</v>
      </c>
      <c r="D19" s="5"/>
      <c r="E19" s="6"/>
      <c r="F19" s="6"/>
      <c r="G19" s="7"/>
      <c r="H19" s="5" t="s">
        <v>18</v>
      </c>
      <c r="I19" s="7"/>
      <c r="J19" s="6"/>
      <c r="K19" s="6"/>
      <c r="L19" s="6"/>
      <c r="M19" s="6"/>
    </row>
    <row r="20" customFormat="false" ht="15" hidden="false" customHeight="true" outlineLevel="0" collapsed="false">
      <c r="A20" s="5" t="s">
        <v>39</v>
      </c>
      <c r="B20" s="5" t="s">
        <v>40</v>
      </c>
      <c r="C20" s="5" t="s">
        <v>41</v>
      </c>
      <c r="D20" s="5" t="s">
        <v>42</v>
      </c>
      <c r="E20" s="6"/>
      <c r="F20" s="6"/>
      <c r="G20" s="7"/>
      <c r="H20" s="5" t="s">
        <v>18</v>
      </c>
      <c r="I20" s="7"/>
      <c r="J20" s="6"/>
      <c r="K20" s="6"/>
      <c r="L20" s="6"/>
      <c r="M20" s="6"/>
    </row>
    <row r="21" customFormat="false" ht="15" hidden="false" customHeight="true" outlineLevel="0" collapsed="false">
      <c r="A21" s="5" t="s">
        <v>43</v>
      </c>
      <c r="B21" s="5" t="s">
        <v>44</v>
      </c>
      <c r="C21" s="5" t="s">
        <v>17</v>
      </c>
      <c r="D21" s="5"/>
      <c r="E21" s="6"/>
      <c r="F21" s="6"/>
      <c r="G21" s="7"/>
      <c r="H21" s="5" t="s">
        <v>18</v>
      </c>
      <c r="I21" s="7"/>
      <c r="J21" s="6"/>
      <c r="K21" s="6"/>
      <c r="L21" s="6"/>
      <c r="M21" s="6"/>
    </row>
    <row r="22" customFormat="false" ht="15" hidden="false" customHeight="true" outlineLevel="0" collapsed="false">
      <c r="A22" s="5" t="s">
        <v>45</v>
      </c>
      <c r="B22" s="5" t="s">
        <v>44</v>
      </c>
      <c r="C22" s="5" t="s">
        <v>17</v>
      </c>
      <c r="D22" s="5"/>
      <c r="E22" s="6"/>
      <c r="F22" s="6"/>
      <c r="G22" s="7"/>
      <c r="H22" s="5" t="s">
        <v>18</v>
      </c>
      <c r="I22" s="7"/>
      <c r="J22" s="6"/>
      <c r="K22" s="6"/>
      <c r="L22" s="6"/>
      <c r="M22" s="6"/>
    </row>
    <row r="23" customFormat="false" ht="15" hidden="false" customHeight="true" outlineLevel="0" collapsed="false">
      <c r="A23" s="5" t="s">
        <v>46</v>
      </c>
      <c r="B23" s="5" t="s">
        <v>44</v>
      </c>
      <c r="C23" s="5" t="s">
        <v>17</v>
      </c>
      <c r="D23" s="5"/>
      <c r="E23" s="6"/>
      <c r="F23" s="6"/>
      <c r="G23" s="7"/>
      <c r="H23" s="5" t="s">
        <v>18</v>
      </c>
      <c r="I23" s="7"/>
      <c r="J23" s="6"/>
      <c r="K23" s="6"/>
      <c r="L23" s="6"/>
      <c r="M23" s="6"/>
    </row>
    <row r="24" customFormat="false" ht="15" hidden="false" customHeight="true" outlineLevel="0" collapsed="false">
      <c r="A24" s="5" t="s">
        <v>47</v>
      </c>
      <c r="B24" s="5" t="s">
        <v>44</v>
      </c>
      <c r="C24" s="5" t="s">
        <v>17</v>
      </c>
      <c r="D24" s="5" t="s">
        <v>48</v>
      </c>
      <c r="E24" s="6"/>
      <c r="F24" s="6"/>
      <c r="G24" s="7"/>
      <c r="H24" s="5" t="s">
        <v>18</v>
      </c>
      <c r="I24" s="7"/>
      <c r="J24" s="6"/>
      <c r="K24" s="6"/>
      <c r="L24" s="8" t="s">
        <v>49</v>
      </c>
      <c r="M24" s="8" t="s">
        <v>50</v>
      </c>
    </row>
    <row r="25" customFormat="false" ht="15" hidden="false" customHeight="true" outlineLevel="0" collapsed="false">
      <c r="A25" s="5" t="s">
        <v>51</v>
      </c>
      <c r="B25" s="5" t="s">
        <v>44</v>
      </c>
      <c r="C25" s="5" t="s">
        <v>17</v>
      </c>
      <c r="D25" s="5"/>
      <c r="E25" s="6"/>
      <c r="F25" s="6"/>
      <c r="G25" s="7"/>
      <c r="H25" s="5" t="s">
        <v>18</v>
      </c>
      <c r="I25" s="7"/>
      <c r="J25" s="6"/>
      <c r="K25" s="6"/>
      <c r="L25" s="6"/>
      <c r="M25" s="6"/>
    </row>
    <row r="26" customFormat="false" ht="15" hidden="false" customHeight="true" outlineLevel="0" collapsed="false">
      <c r="A26" s="5" t="s">
        <v>52</v>
      </c>
      <c r="B26" s="5" t="s">
        <v>44</v>
      </c>
      <c r="C26" s="5" t="s">
        <v>53</v>
      </c>
      <c r="D26" s="5" t="s">
        <v>54</v>
      </c>
      <c r="E26" s="6"/>
      <c r="F26" s="6"/>
      <c r="G26" s="7"/>
      <c r="H26" s="5" t="s">
        <v>18</v>
      </c>
      <c r="I26" s="7"/>
      <c r="J26" s="6"/>
      <c r="K26" s="6"/>
      <c r="L26" s="8" t="s">
        <v>55</v>
      </c>
      <c r="M26" s="8" t="s">
        <v>56</v>
      </c>
    </row>
    <row r="27" customFormat="false" ht="15" hidden="false" customHeight="true" outlineLevel="0" collapsed="false">
      <c r="A27" s="5" t="s">
        <v>57</v>
      </c>
      <c r="B27" s="5" t="s">
        <v>44</v>
      </c>
      <c r="C27" s="5" t="s">
        <v>41</v>
      </c>
      <c r="D27" s="5"/>
      <c r="E27" s="6"/>
      <c r="F27" s="6"/>
      <c r="G27" s="7"/>
      <c r="H27" s="5" t="s">
        <v>18</v>
      </c>
      <c r="I27" s="7"/>
      <c r="J27" s="6"/>
      <c r="K27" s="6"/>
      <c r="L27" s="6"/>
      <c r="M27" s="6"/>
    </row>
    <row r="28" customFormat="false" ht="15" hidden="false" customHeight="true" outlineLevel="0" collapsed="false">
      <c r="A28" s="5" t="s">
        <v>58</v>
      </c>
      <c r="B28" s="5" t="s">
        <v>44</v>
      </c>
      <c r="C28" s="5" t="s">
        <v>41</v>
      </c>
      <c r="D28" s="5"/>
      <c r="E28" s="6"/>
      <c r="F28" s="6"/>
      <c r="G28" s="7"/>
      <c r="H28" s="5" t="s">
        <v>18</v>
      </c>
      <c r="I28" s="7"/>
      <c r="J28" s="6"/>
      <c r="K28" s="6"/>
      <c r="L28" s="6"/>
      <c r="M28" s="6"/>
    </row>
    <row r="29" customFormat="false" ht="15" hidden="false" customHeight="true" outlineLevel="0" collapsed="false">
      <c r="A29" s="5" t="s">
        <v>59</v>
      </c>
      <c r="B29" s="5" t="s">
        <v>44</v>
      </c>
      <c r="C29" s="5" t="s">
        <v>17</v>
      </c>
      <c r="D29" s="5"/>
      <c r="E29" s="6"/>
      <c r="F29" s="6"/>
      <c r="G29" s="7"/>
      <c r="H29" s="5" t="s">
        <v>18</v>
      </c>
      <c r="I29" s="7"/>
      <c r="J29" s="6"/>
      <c r="K29" s="6"/>
      <c r="L29" s="6"/>
      <c r="M29" s="6"/>
    </row>
    <row r="30" customFormat="false" ht="15" hidden="false" customHeight="true" outlineLevel="0" collapsed="false">
      <c r="A30" s="5" t="s">
        <v>60</v>
      </c>
      <c r="B30" s="5" t="s">
        <v>61</v>
      </c>
      <c r="C30" s="5" t="s">
        <v>62</v>
      </c>
      <c r="D30" s="5"/>
      <c r="E30" s="6"/>
      <c r="F30" s="6"/>
      <c r="G30" s="7"/>
      <c r="H30" s="5" t="s">
        <v>18</v>
      </c>
      <c r="I30" s="7"/>
      <c r="J30" s="6"/>
      <c r="K30" s="6"/>
      <c r="L30" s="6"/>
      <c r="M30" s="6"/>
    </row>
    <row r="31" customFormat="false" ht="15" hidden="false" customHeight="true" outlineLevel="0" collapsed="false">
      <c r="A31" s="5" t="s">
        <v>63</v>
      </c>
      <c r="B31" s="5" t="s">
        <v>64</v>
      </c>
      <c r="C31" s="5" t="s">
        <v>17</v>
      </c>
      <c r="D31" s="5"/>
      <c r="E31" s="6"/>
      <c r="F31" s="6"/>
      <c r="G31" s="7"/>
      <c r="H31" s="5" t="s">
        <v>18</v>
      </c>
      <c r="I31" s="7"/>
      <c r="J31" s="6"/>
      <c r="K31" s="6"/>
      <c r="L31" s="6"/>
      <c r="M31" s="6"/>
    </row>
    <row r="32" customFormat="false" ht="15" hidden="false" customHeight="true" outlineLevel="0" collapsed="false">
      <c r="A32" s="5" t="s">
        <v>65</v>
      </c>
      <c r="B32" s="5" t="s">
        <v>66</v>
      </c>
      <c r="C32" s="5" t="s">
        <v>53</v>
      </c>
      <c r="D32" s="5"/>
      <c r="E32" s="6"/>
      <c r="F32" s="6"/>
      <c r="G32" s="7"/>
      <c r="H32" s="5" t="s">
        <v>18</v>
      </c>
      <c r="I32" s="7"/>
      <c r="J32" s="6"/>
      <c r="K32" s="6"/>
      <c r="L32" s="6"/>
      <c r="M32" s="6"/>
    </row>
    <row r="33" customFormat="false" ht="15" hidden="false" customHeight="true" outlineLevel="0" collapsed="false">
      <c r="A33" s="5" t="s">
        <v>67</v>
      </c>
      <c r="B33" s="5" t="s">
        <v>66</v>
      </c>
      <c r="C33" s="5" t="s">
        <v>68</v>
      </c>
      <c r="D33" s="5" t="s">
        <v>69</v>
      </c>
      <c r="E33" s="6"/>
      <c r="F33" s="6"/>
      <c r="G33" s="7"/>
      <c r="H33" s="5" t="s">
        <v>18</v>
      </c>
      <c r="I33" s="7"/>
      <c r="J33" s="6"/>
      <c r="K33" s="6"/>
      <c r="L33" s="6"/>
      <c r="M33" s="6"/>
    </row>
    <row r="34" customFormat="false" ht="15" hidden="false" customHeight="true" outlineLevel="0" collapsed="false">
      <c r="A34" s="5" t="s">
        <v>70</v>
      </c>
      <c r="B34" s="5" t="s">
        <v>66</v>
      </c>
      <c r="C34" s="5" t="s">
        <v>17</v>
      </c>
      <c r="D34" s="5"/>
      <c r="E34" s="6"/>
      <c r="F34" s="6"/>
      <c r="G34" s="7"/>
      <c r="H34" s="5" t="s">
        <v>18</v>
      </c>
      <c r="I34" s="7"/>
      <c r="J34" s="6"/>
      <c r="K34" s="6"/>
      <c r="L34" s="6"/>
      <c r="M34" s="6"/>
    </row>
    <row r="35" customFormat="false" ht="15" hidden="false" customHeight="true" outlineLevel="0" collapsed="false">
      <c r="A35" s="5" t="s">
        <v>71</v>
      </c>
      <c r="B35" s="5" t="s">
        <v>66</v>
      </c>
      <c r="C35" s="5" t="s">
        <v>17</v>
      </c>
      <c r="D35" s="5" t="s">
        <v>72</v>
      </c>
      <c r="E35" s="6"/>
      <c r="F35" s="6"/>
      <c r="G35" s="7"/>
      <c r="H35" s="5" t="s">
        <v>18</v>
      </c>
      <c r="I35" s="7"/>
      <c r="J35" s="6"/>
      <c r="K35" s="6"/>
      <c r="L35" s="6"/>
      <c r="M35" s="6"/>
    </row>
    <row r="36" customFormat="false" ht="15" hidden="false" customHeight="true" outlineLevel="0" collapsed="false">
      <c r="A36" s="5" t="s">
        <v>73</v>
      </c>
      <c r="B36" s="5" t="s">
        <v>66</v>
      </c>
      <c r="C36" s="5" t="s">
        <v>17</v>
      </c>
      <c r="D36" s="5" t="s">
        <v>74</v>
      </c>
      <c r="E36" s="6"/>
      <c r="F36" s="6"/>
      <c r="G36" s="7"/>
      <c r="H36" s="5" t="s">
        <v>18</v>
      </c>
      <c r="I36" s="7"/>
      <c r="J36" s="6"/>
      <c r="K36" s="6"/>
      <c r="L36" s="6"/>
      <c r="M36" s="6"/>
    </row>
    <row r="37" customFormat="false" ht="15" hidden="false" customHeight="true" outlineLevel="0" collapsed="false">
      <c r="A37" s="5" t="s">
        <v>75</v>
      </c>
      <c r="B37" s="5" t="s">
        <v>76</v>
      </c>
      <c r="C37" s="5" t="s">
        <v>17</v>
      </c>
      <c r="D37" s="5"/>
      <c r="E37" s="6"/>
      <c r="F37" s="6"/>
      <c r="G37" s="7"/>
      <c r="H37" s="5" t="s">
        <v>18</v>
      </c>
      <c r="I37" s="7"/>
      <c r="J37" s="6"/>
      <c r="K37" s="6"/>
      <c r="L37" s="6"/>
      <c r="M37" s="6"/>
    </row>
    <row r="38" customFormat="false" ht="15" hidden="false" customHeight="true" outlineLevel="0" collapsed="false">
      <c r="A38" s="5" t="s">
        <v>77</v>
      </c>
      <c r="B38" s="5" t="s">
        <v>76</v>
      </c>
      <c r="C38" s="5" t="s">
        <v>17</v>
      </c>
      <c r="D38" s="5"/>
      <c r="E38" s="6"/>
      <c r="F38" s="6"/>
      <c r="G38" s="7"/>
      <c r="H38" s="5" t="s">
        <v>18</v>
      </c>
      <c r="I38" s="7"/>
      <c r="J38" s="6"/>
      <c r="K38" s="6"/>
      <c r="L38" s="6"/>
      <c r="M38" s="6"/>
    </row>
    <row r="39" customFormat="false" ht="15" hidden="false" customHeight="true" outlineLevel="0" collapsed="false">
      <c r="A39" s="5" t="s">
        <v>78</v>
      </c>
      <c r="B39" s="5" t="s">
        <v>76</v>
      </c>
      <c r="C39" s="5" t="s">
        <v>17</v>
      </c>
      <c r="D39" s="5" t="s">
        <v>79</v>
      </c>
      <c r="E39" s="6"/>
      <c r="F39" s="6"/>
      <c r="G39" s="7"/>
      <c r="H39" s="5" t="s">
        <v>18</v>
      </c>
      <c r="I39" s="7"/>
      <c r="J39" s="6"/>
      <c r="K39" s="6"/>
      <c r="L39" s="6"/>
      <c r="M39" s="6"/>
    </row>
    <row r="40" customFormat="false" ht="15" hidden="false" customHeight="true" outlineLevel="0" collapsed="false">
      <c r="A40" s="5" t="s">
        <v>80</v>
      </c>
      <c r="B40" s="5" t="s">
        <v>76</v>
      </c>
      <c r="C40" s="5" t="s">
        <v>17</v>
      </c>
      <c r="D40" s="5" t="s">
        <v>81</v>
      </c>
      <c r="E40" s="6"/>
      <c r="F40" s="6"/>
      <c r="G40" s="7"/>
      <c r="H40" s="5" t="s">
        <v>18</v>
      </c>
      <c r="I40" s="7"/>
      <c r="J40" s="6"/>
      <c r="K40" s="6"/>
      <c r="L40" s="8" t="s">
        <v>49</v>
      </c>
      <c r="M40" s="8" t="s">
        <v>82</v>
      </c>
    </row>
    <row r="41" customFormat="false" ht="15" hidden="false" customHeight="true" outlineLevel="0" collapsed="false">
      <c r="A41" s="5" t="s">
        <v>83</v>
      </c>
      <c r="B41" s="5" t="s">
        <v>76</v>
      </c>
      <c r="C41" s="5" t="s">
        <v>17</v>
      </c>
      <c r="D41" s="5"/>
      <c r="E41" s="6"/>
      <c r="F41" s="6"/>
      <c r="G41" s="7"/>
      <c r="H41" s="5" t="s">
        <v>18</v>
      </c>
      <c r="I41" s="7"/>
      <c r="J41" s="6"/>
      <c r="K41" s="6"/>
      <c r="L41" s="6"/>
      <c r="M41" s="6"/>
    </row>
    <row r="42" customFormat="false" ht="15" hidden="false" customHeight="true" outlineLevel="0" collapsed="false">
      <c r="A42" s="5" t="s">
        <v>84</v>
      </c>
      <c r="B42" s="5" t="s">
        <v>76</v>
      </c>
      <c r="C42" s="5" t="s">
        <v>68</v>
      </c>
      <c r="D42" s="5"/>
      <c r="E42" s="6"/>
      <c r="F42" s="6"/>
      <c r="G42" s="7"/>
      <c r="H42" s="5" t="s">
        <v>18</v>
      </c>
      <c r="I42" s="7"/>
      <c r="J42" s="6"/>
      <c r="K42" s="6"/>
      <c r="L42" s="6"/>
      <c r="M42" s="6"/>
    </row>
    <row r="43" customFormat="false" ht="15" hidden="false" customHeight="true" outlineLevel="0" collapsed="false">
      <c r="A43" s="5" t="s">
        <v>85</v>
      </c>
      <c r="B43" s="5" t="s">
        <v>86</v>
      </c>
      <c r="C43" s="5" t="s">
        <v>17</v>
      </c>
      <c r="D43" s="5"/>
      <c r="E43" s="6"/>
      <c r="F43" s="6"/>
      <c r="G43" s="7"/>
      <c r="H43" s="5" t="s">
        <v>18</v>
      </c>
      <c r="I43" s="7"/>
      <c r="J43" s="6"/>
      <c r="K43" s="6"/>
      <c r="L43" s="6"/>
      <c r="M43" s="6"/>
    </row>
    <row r="44" customFormat="false" ht="15" hidden="false" customHeight="true" outlineLevel="0" collapsed="false">
      <c r="A44" s="5" t="s">
        <v>87</v>
      </c>
      <c r="B44" s="5" t="s">
        <v>86</v>
      </c>
      <c r="C44" s="5" t="s">
        <v>17</v>
      </c>
      <c r="D44" s="5"/>
      <c r="E44" s="6"/>
      <c r="F44" s="6"/>
      <c r="G44" s="7"/>
      <c r="H44" s="5" t="s">
        <v>18</v>
      </c>
      <c r="I44" s="7"/>
      <c r="J44" s="6"/>
      <c r="K44" s="6"/>
      <c r="L44" s="6"/>
      <c r="M44" s="6"/>
    </row>
    <row r="45" customFormat="false" ht="15" hidden="false" customHeight="true" outlineLevel="0" collapsed="false">
      <c r="A45" s="5" t="s">
        <v>88</v>
      </c>
      <c r="B45" s="5" t="s">
        <v>86</v>
      </c>
      <c r="C45" s="5" t="s">
        <v>17</v>
      </c>
      <c r="D45" s="5" t="s">
        <v>89</v>
      </c>
      <c r="E45" s="6"/>
      <c r="F45" s="6"/>
      <c r="G45" s="7"/>
      <c r="H45" s="5" t="s">
        <v>18</v>
      </c>
      <c r="I45" s="7"/>
      <c r="J45" s="6"/>
      <c r="K45" s="6"/>
      <c r="L45" s="6"/>
      <c r="M45" s="6"/>
    </row>
    <row r="46" customFormat="false" ht="15" hidden="false" customHeight="true" outlineLevel="0" collapsed="false">
      <c r="A46" s="5" t="s">
        <v>90</v>
      </c>
      <c r="B46" s="5" t="s">
        <v>86</v>
      </c>
      <c r="C46" s="5" t="s">
        <v>68</v>
      </c>
      <c r="D46" s="5" t="s">
        <v>91</v>
      </c>
      <c r="E46" s="6"/>
      <c r="F46" s="6"/>
      <c r="G46" s="7"/>
      <c r="H46" s="5" t="s">
        <v>18</v>
      </c>
      <c r="I46" s="7"/>
      <c r="J46" s="6"/>
      <c r="K46" s="6"/>
      <c r="L46" s="6"/>
      <c r="M46" s="6"/>
    </row>
    <row r="47" customFormat="false" ht="15" hidden="false" customHeight="true" outlineLevel="0" collapsed="false">
      <c r="A47" s="5" t="s">
        <v>92</v>
      </c>
      <c r="B47" s="5" t="s">
        <v>86</v>
      </c>
      <c r="C47" s="5" t="s">
        <v>93</v>
      </c>
      <c r="D47" s="5"/>
      <c r="E47" s="6"/>
      <c r="F47" s="6"/>
      <c r="G47" s="7"/>
      <c r="H47" s="5" t="s">
        <v>18</v>
      </c>
      <c r="I47" s="7"/>
      <c r="J47" s="6"/>
      <c r="K47" s="6"/>
      <c r="L47" s="6"/>
      <c r="M47" s="6"/>
    </row>
    <row r="48" customFormat="false" ht="15" hidden="false" customHeight="true" outlineLevel="0" collapsed="false">
      <c r="A48" s="5" t="s">
        <v>94</v>
      </c>
      <c r="B48" s="5" t="s">
        <v>86</v>
      </c>
      <c r="C48" s="5" t="s">
        <v>53</v>
      </c>
      <c r="D48" s="5" t="s">
        <v>95</v>
      </c>
      <c r="E48" s="6"/>
      <c r="F48" s="6"/>
      <c r="G48" s="7"/>
      <c r="H48" s="5" t="s">
        <v>18</v>
      </c>
      <c r="I48" s="7"/>
      <c r="J48" s="6"/>
      <c r="K48" s="6"/>
      <c r="L48" s="6"/>
      <c r="M48" s="6"/>
    </row>
    <row r="49" customFormat="false" ht="15" hidden="false" customHeight="true" outlineLevel="0" collapsed="false">
      <c r="A49" s="5" t="s">
        <v>96</v>
      </c>
      <c r="B49" s="5" t="s">
        <v>97</v>
      </c>
      <c r="C49" s="5" t="s">
        <v>17</v>
      </c>
      <c r="D49" s="5" t="s">
        <v>98</v>
      </c>
      <c r="E49" s="6"/>
      <c r="F49" s="6"/>
      <c r="G49" s="7"/>
      <c r="H49" s="5" t="s">
        <v>18</v>
      </c>
      <c r="I49" s="7"/>
      <c r="J49" s="6"/>
      <c r="K49" s="6"/>
      <c r="L49" s="6"/>
      <c r="M49" s="6"/>
    </row>
    <row r="50" customFormat="false" ht="15" hidden="false" customHeight="true" outlineLevel="0" collapsed="false">
      <c r="A50" s="5" t="s">
        <v>99</v>
      </c>
      <c r="B50" s="5" t="s">
        <v>100</v>
      </c>
      <c r="C50" s="5" t="s">
        <v>17</v>
      </c>
      <c r="D50" s="5" t="s">
        <v>95</v>
      </c>
      <c r="E50" s="6"/>
      <c r="F50" s="6"/>
      <c r="G50" s="7"/>
      <c r="H50" s="5" t="s">
        <v>18</v>
      </c>
      <c r="I50" s="7"/>
      <c r="J50" s="6"/>
      <c r="K50" s="6"/>
      <c r="L50" s="6"/>
      <c r="M50" s="6"/>
    </row>
    <row r="51" customFormat="false" ht="15" hidden="false" customHeight="true" outlineLevel="0" collapsed="false">
      <c r="A51" s="5" t="s">
        <v>101</v>
      </c>
      <c r="B51" s="5" t="s">
        <v>100</v>
      </c>
      <c r="C51" s="5" t="s">
        <v>17</v>
      </c>
      <c r="D51" s="5" t="s">
        <v>102</v>
      </c>
      <c r="E51" s="6"/>
      <c r="F51" s="6"/>
      <c r="G51" s="7"/>
      <c r="H51" s="5" t="s">
        <v>18</v>
      </c>
      <c r="I51" s="7"/>
      <c r="J51" s="6"/>
      <c r="K51" s="6"/>
      <c r="L51" s="6"/>
      <c r="M51" s="6"/>
    </row>
    <row r="52" customFormat="false" ht="15" hidden="false" customHeight="true" outlineLevel="0" collapsed="false">
      <c r="A52" s="5" t="s">
        <v>103</v>
      </c>
      <c r="B52" s="5" t="s">
        <v>104</v>
      </c>
      <c r="C52" s="5" t="s">
        <v>17</v>
      </c>
      <c r="D52" s="5"/>
      <c r="E52" s="6"/>
      <c r="F52" s="6"/>
      <c r="G52" s="7"/>
      <c r="H52" s="5" t="s">
        <v>18</v>
      </c>
      <c r="I52" s="7"/>
      <c r="J52" s="6"/>
      <c r="K52" s="6"/>
      <c r="L52" s="6"/>
      <c r="M52" s="6"/>
    </row>
    <row r="53" customFormat="false" ht="15" hidden="false" customHeight="true" outlineLevel="0" collapsed="false">
      <c r="A53" s="5" t="s">
        <v>105</v>
      </c>
      <c r="B53" s="5" t="s">
        <v>106</v>
      </c>
      <c r="C53" s="5" t="s">
        <v>107</v>
      </c>
      <c r="D53" s="5"/>
      <c r="E53" s="6"/>
      <c r="F53" s="6"/>
      <c r="G53" s="7"/>
      <c r="H53" s="5" t="s">
        <v>18</v>
      </c>
      <c r="I53" s="7"/>
      <c r="J53" s="6"/>
      <c r="K53" s="6"/>
      <c r="L53" s="6"/>
      <c r="M53" s="6"/>
    </row>
    <row r="54" customFormat="false" ht="15" hidden="false" customHeight="true" outlineLevel="0" collapsed="false">
      <c r="A54" s="5" t="s">
        <v>108</v>
      </c>
      <c r="B54" s="5" t="s">
        <v>109</v>
      </c>
      <c r="C54" s="5" t="s">
        <v>62</v>
      </c>
      <c r="D54" s="5"/>
      <c r="E54" s="6"/>
      <c r="F54" s="6"/>
      <c r="G54" s="7"/>
      <c r="H54" s="5" t="s">
        <v>18</v>
      </c>
      <c r="I54" s="7"/>
      <c r="J54" s="6"/>
      <c r="K54" s="6"/>
      <c r="L54" s="6"/>
      <c r="M54" s="6"/>
    </row>
    <row r="55" customFormat="false" ht="15" hidden="false" customHeight="true" outlineLevel="0" collapsed="false">
      <c r="A55" s="5" t="s">
        <v>110</v>
      </c>
      <c r="B55" s="5" t="s">
        <v>104</v>
      </c>
      <c r="C55" s="5" t="s">
        <v>111</v>
      </c>
      <c r="D55" s="5"/>
      <c r="E55" s="6"/>
      <c r="F55" s="6"/>
      <c r="G55" s="7"/>
      <c r="H55" s="5" t="s">
        <v>18</v>
      </c>
      <c r="I55" s="7"/>
      <c r="J55" s="6"/>
      <c r="K55" s="6"/>
      <c r="L55" s="6"/>
      <c r="M55" s="6"/>
    </row>
    <row r="56" customFormat="false" ht="15" hidden="false" customHeight="true" outlineLevel="0" collapsed="false">
      <c r="A56" s="5" t="s">
        <v>112</v>
      </c>
      <c r="B56" s="5" t="s">
        <v>113</v>
      </c>
      <c r="C56" s="5" t="s">
        <v>114</v>
      </c>
      <c r="D56" s="5" t="s">
        <v>115</v>
      </c>
      <c r="E56" s="6"/>
      <c r="F56" s="6"/>
      <c r="G56" s="7"/>
      <c r="H56" s="5" t="s">
        <v>18</v>
      </c>
      <c r="I56" s="7"/>
      <c r="J56" s="6"/>
      <c r="K56" s="6"/>
      <c r="L56" s="6"/>
      <c r="M56" s="6"/>
    </row>
    <row r="57" customFormat="false" ht="15" hidden="false" customHeight="true" outlineLevel="0" collapsed="false">
      <c r="A57" s="5" t="s">
        <v>116</v>
      </c>
      <c r="B57" s="5" t="s">
        <v>117</v>
      </c>
      <c r="C57" s="5" t="s">
        <v>17</v>
      </c>
      <c r="D57" s="5"/>
      <c r="E57" s="6"/>
      <c r="F57" s="6"/>
      <c r="G57" s="7"/>
      <c r="H57" s="5" t="s">
        <v>18</v>
      </c>
      <c r="I57" s="7"/>
      <c r="J57" s="6"/>
      <c r="K57" s="6"/>
      <c r="L57" s="6"/>
      <c r="M57" s="6"/>
    </row>
    <row r="58" customFormat="false" ht="15" hidden="false" customHeight="true" outlineLevel="0" collapsed="false">
      <c r="A58" s="5" t="s">
        <v>118</v>
      </c>
      <c r="B58" s="5" t="s">
        <v>64</v>
      </c>
      <c r="C58" s="5" t="s">
        <v>41</v>
      </c>
      <c r="D58" s="5"/>
      <c r="E58" s="6"/>
      <c r="F58" s="6"/>
      <c r="G58" s="7"/>
      <c r="H58" s="5" t="s">
        <v>18</v>
      </c>
      <c r="I58" s="7"/>
      <c r="J58" s="6"/>
      <c r="K58" s="6"/>
      <c r="L58" s="6"/>
      <c r="M58" s="6"/>
    </row>
    <row r="59" customFormat="false" ht="15" hidden="false" customHeight="true" outlineLevel="0" collapsed="false">
      <c r="A59" s="9" t="s">
        <v>119</v>
      </c>
      <c r="B59" s="9" t="s">
        <v>120</v>
      </c>
      <c r="C59" s="9" t="s">
        <v>17</v>
      </c>
      <c r="D59" s="9" t="s">
        <v>121</v>
      </c>
      <c r="E59" s="6"/>
      <c r="F59" s="6"/>
      <c r="G59" s="7"/>
      <c r="H59" s="5" t="s">
        <v>18</v>
      </c>
      <c r="I59" s="7"/>
      <c r="J59" s="6"/>
      <c r="K59" s="6"/>
      <c r="L59" s="8" t="s">
        <v>49</v>
      </c>
      <c r="M59" s="8" t="s">
        <v>122</v>
      </c>
    </row>
    <row r="60" customFormat="false" ht="15" hidden="false" customHeight="true" outlineLevel="0" collapsed="false">
      <c r="A60" s="9" t="s">
        <v>123</v>
      </c>
      <c r="B60" s="9" t="s">
        <v>44</v>
      </c>
      <c r="C60" s="9" t="s">
        <v>17</v>
      </c>
      <c r="D60" s="9" t="s">
        <v>95</v>
      </c>
      <c r="E60" s="6"/>
      <c r="F60" s="6"/>
      <c r="G60" s="7"/>
      <c r="H60" s="5" t="s">
        <v>18</v>
      </c>
      <c r="I60" s="7"/>
      <c r="J60" s="6"/>
      <c r="K60" s="6"/>
      <c r="L60" s="8" t="s">
        <v>49</v>
      </c>
      <c r="M60" s="8" t="s">
        <v>124</v>
      </c>
    </row>
    <row r="61" customFormat="false" ht="15" hidden="false" customHeight="true" outlineLevel="0" collapsed="false">
      <c r="A61" s="9" t="s">
        <v>125</v>
      </c>
      <c r="B61" s="9" t="s">
        <v>126</v>
      </c>
      <c r="C61" s="9" t="s">
        <v>17</v>
      </c>
      <c r="D61" s="9" t="s">
        <v>127</v>
      </c>
      <c r="E61" s="6"/>
      <c r="F61" s="6"/>
      <c r="G61" s="7"/>
      <c r="H61" s="5" t="s">
        <v>18</v>
      </c>
      <c r="I61" s="7"/>
      <c r="J61" s="6"/>
      <c r="K61" s="6"/>
      <c r="L61" s="8" t="s">
        <v>49</v>
      </c>
      <c r="M61" s="8" t="s">
        <v>128</v>
      </c>
    </row>
    <row r="62" customFormat="false" ht="15" hidden="false" customHeight="true" outlineLevel="0" collapsed="false">
      <c r="A62" s="9" t="s">
        <v>129</v>
      </c>
      <c r="B62" s="9" t="s">
        <v>44</v>
      </c>
      <c r="C62" s="9" t="s">
        <v>17</v>
      </c>
      <c r="D62" s="9" t="s">
        <v>34</v>
      </c>
      <c r="E62" s="6"/>
      <c r="F62" s="6"/>
      <c r="G62" s="7"/>
      <c r="H62" s="5" t="s">
        <v>18</v>
      </c>
      <c r="I62" s="7"/>
      <c r="J62" s="6"/>
      <c r="K62" s="6"/>
      <c r="L62" s="6"/>
      <c r="M62" s="10" t="s">
        <v>130</v>
      </c>
    </row>
    <row r="63" customFormat="false" ht="15" hidden="false" customHeight="true" outlineLevel="0" collapsed="false">
      <c r="A63" s="9" t="s">
        <v>131</v>
      </c>
      <c r="B63" s="9" t="s">
        <v>132</v>
      </c>
      <c r="C63" s="9" t="s">
        <v>53</v>
      </c>
      <c r="D63" s="9" t="s">
        <v>133</v>
      </c>
      <c r="E63" s="6"/>
      <c r="F63" s="6"/>
      <c r="G63" s="7"/>
      <c r="H63" s="5" t="s">
        <v>18</v>
      </c>
      <c r="I63" s="7"/>
      <c r="J63" s="6"/>
      <c r="K63" s="6"/>
      <c r="L63" s="6"/>
      <c r="M63" s="10" t="s">
        <v>130</v>
      </c>
    </row>
    <row r="64" customFormat="false" ht="15" hidden="false" customHeight="true" outlineLevel="0" collapsed="false">
      <c r="A64" s="9" t="s">
        <v>134</v>
      </c>
      <c r="B64" s="9" t="s">
        <v>135</v>
      </c>
      <c r="C64" s="9" t="s">
        <v>17</v>
      </c>
      <c r="D64" s="9" t="s">
        <v>136</v>
      </c>
      <c r="E64" s="6"/>
      <c r="F64" s="6"/>
      <c r="G64" s="7"/>
      <c r="H64" s="5" t="s">
        <v>18</v>
      </c>
      <c r="I64" s="7"/>
      <c r="J64" s="6"/>
      <c r="K64" s="6"/>
      <c r="L64" s="6"/>
      <c r="M64" s="10" t="s">
        <v>130</v>
      </c>
    </row>
    <row r="65" customFormat="false" ht="15" hidden="false" customHeight="true" outlineLevel="0" collapsed="false">
      <c r="A65" s="9" t="s">
        <v>137</v>
      </c>
      <c r="B65" s="9" t="s">
        <v>30</v>
      </c>
      <c r="C65" s="9" t="s">
        <v>17</v>
      </c>
      <c r="D65" s="9" t="s">
        <v>138</v>
      </c>
      <c r="E65" s="6"/>
      <c r="F65" s="6"/>
      <c r="G65" s="7"/>
      <c r="H65" s="5" t="s">
        <v>18</v>
      </c>
      <c r="I65" s="7"/>
      <c r="J65" s="6"/>
      <c r="K65" s="6"/>
      <c r="L65" s="6"/>
      <c r="M65" s="10" t="s">
        <v>130</v>
      </c>
    </row>
    <row r="66" customFormat="false" ht="15" hidden="false" customHeight="true" outlineLevel="0" collapsed="false">
      <c r="A66" s="9" t="s">
        <v>139</v>
      </c>
      <c r="B66" s="9" t="s">
        <v>16</v>
      </c>
      <c r="C66" s="9" t="s">
        <v>17</v>
      </c>
      <c r="D66" s="9" t="s">
        <v>140</v>
      </c>
      <c r="E66" s="6"/>
      <c r="F66" s="6"/>
      <c r="G66" s="7"/>
      <c r="H66" s="5" t="s">
        <v>18</v>
      </c>
      <c r="I66" s="7"/>
      <c r="J66" s="6"/>
      <c r="K66" s="6"/>
      <c r="L66" s="6"/>
      <c r="M66" s="10" t="s">
        <v>130</v>
      </c>
    </row>
    <row r="67" customFormat="false" ht="15" hidden="false" customHeight="true" outlineLevel="0" collapsed="false">
      <c r="A67" s="9" t="s">
        <v>141</v>
      </c>
      <c r="B67" s="9" t="s">
        <v>126</v>
      </c>
      <c r="C67" s="9" t="s">
        <v>53</v>
      </c>
      <c r="D67" s="9" t="s">
        <v>142</v>
      </c>
      <c r="E67" s="6"/>
      <c r="F67" s="6"/>
      <c r="G67" s="7"/>
      <c r="H67" s="5" t="s">
        <v>18</v>
      </c>
      <c r="I67" s="7"/>
      <c r="J67" s="6"/>
      <c r="K67" s="6"/>
      <c r="L67" s="8" t="s">
        <v>55</v>
      </c>
      <c r="M67" s="8" t="s">
        <v>143</v>
      </c>
    </row>
    <row r="68" customFormat="false" ht="15" hidden="false" customHeight="true" outlineLevel="0" collapsed="false">
      <c r="A68" s="9" t="s">
        <v>144</v>
      </c>
      <c r="B68" s="9" t="s">
        <v>66</v>
      </c>
      <c r="C68" s="9" t="s">
        <v>53</v>
      </c>
      <c r="D68" s="9" t="s">
        <v>142</v>
      </c>
      <c r="E68" s="6"/>
      <c r="F68" s="6"/>
      <c r="G68" s="7"/>
      <c r="H68" s="5" t="s">
        <v>18</v>
      </c>
      <c r="I68" s="7"/>
      <c r="J68" s="6"/>
      <c r="K68" s="6"/>
      <c r="L68" s="6"/>
      <c r="M68" s="10" t="s">
        <v>130</v>
      </c>
    </row>
    <row r="69" customFormat="false" ht="15" hidden="false" customHeight="true" outlineLevel="0" collapsed="false">
      <c r="A69" s="9" t="s">
        <v>145</v>
      </c>
      <c r="B69" s="9" t="s">
        <v>104</v>
      </c>
      <c r="C69" s="9" t="s">
        <v>53</v>
      </c>
      <c r="D69" s="9" t="s">
        <v>142</v>
      </c>
      <c r="E69" s="6"/>
      <c r="F69" s="6"/>
      <c r="G69" s="7"/>
      <c r="H69" s="5" t="s">
        <v>18</v>
      </c>
      <c r="I69" s="7"/>
      <c r="J69" s="6"/>
      <c r="K69" s="6"/>
      <c r="L69" s="6"/>
      <c r="M69" s="10" t="s">
        <v>130</v>
      </c>
    </row>
    <row r="70" customFormat="false" ht="15" hidden="false" customHeight="true" outlineLevel="0" collapsed="false">
      <c r="A70" s="9" t="s">
        <v>146</v>
      </c>
      <c r="B70" s="9" t="s">
        <v>66</v>
      </c>
      <c r="C70" s="9" t="s">
        <v>17</v>
      </c>
      <c r="D70" s="9" t="s">
        <v>142</v>
      </c>
      <c r="E70" s="6"/>
      <c r="F70" s="6"/>
      <c r="G70" s="7"/>
      <c r="H70" s="5" t="s">
        <v>18</v>
      </c>
      <c r="I70" s="7"/>
      <c r="J70" s="6"/>
      <c r="K70" s="6"/>
      <c r="L70" s="6"/>
      <c r="M70" s="10" t="s">
        <v>130</v>
      </c>
    </row>
    <row r="71" customFormat="false" ht="15" hidden="false" customHeight="true" outlineLevel="0" collapsed="false">
      <c r="A71" s="9" t="s">
        <v>147</v>
      </c>
      <c r="B71" s="9" t="s">
        <v>30</v>
      </c>
      <c r="C71" s="9" t="s">
        <v>17</v>
      </c>
      <c r="D71" s="9" t="s">
        <v>142</v>
      </c>
      <c r="E71" s="6"/>
      <c r="F71" s="6"/>
      <c r="G71" s="7"/>
      <c r="H71" s="5" t="s">
        <v>18</v>
      </c>
      <c r="I71" s="7"/>
      <c r="J71" s="6"/>
      <c r="K71" s="6"/>
      <c r="L71" s="6"/>
      <c r="M71" s="10" t="s">
        <v>130</v>
      </c>
    </row>
    <row r="72" customFormat="false" ht="15" hidden="false" customHeight="true" outlineLevel="0" collapsed="false">
      <c r="A72" s="9" t="s">
        <v>148</v>
      </c>
      <c r="B72" s="9" t="s">
        <v>86</v>
      </c>
      <c r="C72" s="9" t="s">
        <v>41</v>
      </c>
      <c r="D72" s="9" t="s">
        <v>142</v>
      </c>
      <c r="E72" s="6"/>
      <c r="F72" s="6"/>
      <c r="G72" s="7"/>
      <c r="H72" s="5" t="s">
        <v>18</v>
      </c>
      <c r="I72" s="7"/>
      <c r="J72" s="6"/>
      <c r="K72" s="6"/>
      <c r="L72" s="6"/>
      <c r="M72" s="10" t="s">
        <v>130</v>
      </c>
    </row>
    <row r="73" customFormat="false" ht="15" hidden="false" customHeight="true" outlineLevel="0" collapsed="false">
      <c r="A73" s="9" t="s">
        <v>149</v>
      </c>
      <c r="B73" s="9" t="s">
        <v>16</v>
      </c>
      <c r="C73" s="9" t="s">
        <v>17</v>
      </c>
      <c r="D73" s="9" t="s">
        <v>142</v>
      </c>
      <c r="E73" s="6"/>
      <c r="F73" s="6"/>
      <c r="G73" s="7"/>
      <c r="H73" s="5" t="s">
        <v>18</v>
      </c>
      <c r="I73" s="7"/>
      <c r="J73" s="6"/>
      <c r="K73" s="6"/>
      <c r="L73" s="6"/>
      <c r="M73" s="10" t="s">
        <v>130</v>
      </c>
    </row>
    <row r="74" customFormat="false" ht="15" hidden="false" customHeight="true" outlineLevel="0" collapsed="false">
      <c r="A74" s="9" t="s">
        <v>150</v>
      </c>
      <c r="B74" s="9" t="s">
        <v>126</v>
      </c>
      <c r="C74" s="9" t="s">
        <v>151</v>
      </c>
      <c r="D74" s="9" t="s">
        <v>152</v>
      </c>
      <c r="E74" s="6"/>
      <c r="F74" s="6"/>
      <c r="G74" s="7"/>
      <c r="H74" s="5" t="s">
        <v>18</v>
      </c>
      <c r="I74" s="7"/>
      <c r="J74" s="6"/>
      <c r="K74" s="6"/>
      <c r="L74" s="6"/>
      <c r="M74" s="10" t="s">
        <v>130</v>
      </c>
    </row>
    <row r="75" customFormat="false" ht="15" hidden="false" customHeight="true" outlineLevel="0" collapsed="false">
      <c r="A75" s="9" t="s">
        <v>153</v>
      </c>
      <c r="B75" s="9" t="s">
        <v>154</v>
      </c>
      <c r="C75" s="9" t="s">
        <v>17</v>
      </c>
      <c r="D75" s="9" t="s">
        <v>155</v>
      </c>
      <c r="E75" s="6"/>
      <c r="F75" s="6"/>
      <c r="G75" s="7"/>
      <c r="H75" s="5" t="s">
        <v>18</v>
      </c>
      <c r="I75" s="7"/>
      <c r="J75" s="6"/>
      <c r="K75" s="6"/>
      <c r="L75" s="8" t="s">
        <v>49</v>
      </c>
      <c r="M75" s="8" t="s">
        <v>156</v>
      </c>
    </row>
    <row r="76" customFormat="false" ht="15" hidden="false" customHeight="true" outlineLevel="0" collapsed="false">
      <c r="A76" s="9" t="s">
        <v>157</v>
      </c>
      <c r="B76" s="9" t="s">
        <v>158</v>
      </c>
      <c r="C76" s="9" t="s">
        <v>159</v>
      </c>
      <c r="D76" s="9" t="s">
        <v>160</v>
      </c>
      <c r="E76" s="6"/>
      <c r="F76" s="6"/>
      <c r="G76" s="7"/>
      <c r="H76" s="5" t="s">
        <v>18</v>
      </c>
      <c r="I76" s="7"/>
      <c r="J76" s="6"/>
      <c r="K76" s="6"/>
      <c r="L76" s="8" t="s">
        <v>49</v>
      </c>
      <c r="M76" s="8" t="s">
        <v>161</v>
      </c>
    </row>
    <row r="77" customFormat="false" ht="15" hidden="false" customHeight="true" outlineLevel="0" collapsed="false">
      <c r="A77" s="9" t="s">
        <v>162</v>
      </c>
      <c r="B77" s="9" t="s">
        <v>163</v>
      </c>
      <c r="C77" s="9" t="s">
        <v>17</v>
      </c>
      <c r="D77" s="9" t="s">
        <v>164</v>
      </c>
      <c r="E77" s="6"/>
      <c r="F77" s="6"/>
      <c r="G77" s="7"/>
      <c r="H77" s="5" t="s">
        <v>18</v>
      </c>
      <c r="I77" s="7"/>
      <c r="J77" s="6"/>
      <c r="K77" s="6"/>
      <c r="L77" s="8" t="s">
        <v>49</v>
      </c>
      <c r="M77" s="8" t="s">
        <v>165</v>
      </c>
    </row>
    <row r="78" customFormat="false" ht="15" hidden="false" customHeight="true" outlineLevel="0" collapsed="false">
      <c r="A78" s="9" t="s">
        <v>166</v>
      </c>
      <c r="B78" s="9" t="s">
        <v>167</v>
      </c>
      <c r="C78" s="9" t="s">
        <v>17</v>
      </c>
      <c r="D78" s="9" t="s">
        <v>168</v>
      </c>
      <c r="E78" s="6"/>
      <c r="F78" s="6"/>
      <c r="G78" s="7"/>
      <c r="H78" s="5" t="s">
        <v>18</v>
      </c>
      <c r="I78" s="7"/>
      <c r="J78" s="6"/>
      <c r="K78" s="6"/>
      <c r="L78" s="10" t="s">
        <v>55</v>
      </c>
      <c r="M78" s="10" t="s">
        <v>169</v>
      </c>
    </row>
    <row r="79" customFormat="false" ht="15" hidden="false" customHeight="true" outlineLevel="0" collapsed="false">
      <c r="A79" s="9" t="s">
        <v>170</v>
      </c>
      <c r="B79" s="9" t="s">
        <v>171</v>
      </c>
      <c r="C79" s="9" t="s">
        <v>53</v>
      </c>
      <c r="D79" s="9" t="s">
        <v>172</v>
      </c>
      <c r="E79" s="6"/>
      <c r="F79" s="6"/>
      <c r="G79" s="7"/>
      <c r="H79" s="5" t="s">
        <v>18</v>
      </c>
      <c r="I79" s="7"/>
      <c r="J79" s="6"/>
      <c r="K79" s="6"/>
      <c r="L79" s="10" t="s">
        <v>55</v>
      </c>
      <c r="M79" s="10" t="s">
        <v>173</v>
      </c>
    </row>
    <row r="80" customFormat="false" ht="15" hidden="false" customHeight="true" outlineLevel="0" collapsed="false">
      <c r="A80" s="9" t="s">
        <v>174</v>
      </c>
      <c r="B80" s="9" t="s">
        <v>175</v>
      </c>
      <c r="C80" s="9" t="s">
        <v>17</v>
      </c>
      <c r="D80" s="9" t="s">
        <v>176</v>
      </c>
      <c r="E80" s="6"/>
      <c r="F80" s="6"/>
      <c r="G80" s="7"/>
      <c r="H80" s="5" t="s">
        <v>18</v>
      </c>
      <c r="I80" s="7"/>
      <c r="J80" s="6"/>
      <c r="K80" s="6"/>
      <c r="L80" s="10" t="s">
        <v>177</v>
      </c>
      <c r="M80" s="10" t="s">
        <v>178</v>
      </c>
    </row>
    <row r="81" customFormat="false" ht="15" hidden="false" customHeight="true" outlineLevel="0" collapsed="false">
      <c r="A81" s="9" t="s">
        <v>179</v>
      </c>
      <c r="B81" s="9" t="s">
        <v>44</v>
      </c>
      <c r="C81" s="9" t="s">
        <v>114</v>
      </c>
      <c r="D81" s="9" t="s">
        <v>180</v>
      </c>
      <c r="E81" s="6"/>
      <c r="F81" s="6"/>
      <c r="G81" s="7"/>
      <c r="H81" s="5" t="s">
        <v>18</v>
      </c>
      <c r="I81" s="7"/>
      <c r="J81" s="6"/>
      <c r="K81" s="6"/>
      <c r="L81" s="10" t="s">
        <v>177</v>
      </c>
      <c r="M81" s="10" t="s">
        <v>181</v>
      </c>
    </row>
    <row r="82" customFormat="false" ht="15" hidden="false" customHeight="true" outlineLevel="0" collapsed="false">
      <c r="A82" s="9" t="s">
        <v>182</v>
      </c>
      <c r="B82" s="9" t="s">
        <v>135</v>
      </c>
      <c r="C82" s="9" t="s">
        <v>183</v>
      </c>
      <c r="D82" s="9" t="s">
        <v>172</v>
      </c>
      <c r="E82" s="6"/>
      <c r="F82" s="6"/>
      <c r="G82" s="7"/>
      <c r="H82" s="5" t="s">
        <v>18</v>
      </c>
      <c r="I82" s="7"/>
      <c r="J82" s="6"/>
      <c r="K82" s="6"/>
      <c r="L82" s="10" t="s">
        <v>177</v>
      </c>
      <c r="M82" s="10" t="s">
        <v>184</v>
      </c>
    </row>
    <row r="83" customFormat="false" ht="15" hidden="false" customHeight="true" outlineLevel="0" collapsed="false">
      <c r="A83" s="9" t="s">
        <v>185</v>
      </c>
      <c r="B83" s="9" t="s">
        <v>186</v>
      </c>
      <c r="C83" s="9" t="s">
        <v>17</v>
      </c>
      <c r="D83" s="9" t="s">
        <v>172</v>
      </c>
      <c r="E83" s="6"/>
      <c r="F83" s="6"/>
      <c r="G83" s="7"/>
      <c r="H83" s="5" t="s">
        <v>18</v>
      </c>
      <c r="I83" s="7"/>
      <c r="J83" s="6"/>
      <c r="K83" s="6"/>
      <c r="L83" s="10" t="s">
        <v>177</v>
      </c>
      <c r="M83" s="10" t="s">
        <v>184</v>
      </c>
    </row>
    <row r="84" customFormat="false" ht="15" hidden="false" customHeight="true" outlineLevel="0" collapsed="false">
      <c r="A84" s="9" t="s">
        <v>187</v>
      </c>
      <c r="B84" s="9" t="s">
        <v>188</v>
      </c>
      <c r="C84" s="9" t="s">
        <v>17</v>
      </c>
      <c r="D84" s="9" t="s">
        <v>172</v>
      </c>
      <c r="E84" s="6"/>
      <c r="F84" s="6"/>
      <c r="G84" s="7"/>
      <c r="H84" s="5" t="s">
        <v>18</v>
      </c>
      <c r="I84" s="7"/>
      <c r="J84" s="6"/>
      <c r="K84" s="6"/>
      <c r="L84" s="10" t="s">
        <v>177</v>
      </c>
      <c r="M84" s="10" t="s">
        <v>184</v>
      </c>
    </row>
    <row r="85" customFormat="false" ht="15" hidden="false" customHeight="true" outlineLevel="0" collapsed="false">
      <c r="A85" s="9" t="s">
        <v>189</v>
      </c>
      <c r="B85" s="9" t="s">
        <v>190</v>
      </c>
      <c r="C85" s="9" t="s">
        <v>17</v>
      </c>
      <c r="D85" s="9" t="s">
        <v>172</v>
      </c>
      <c r="E85" s="6"/>
      <c r="F85" s="6"/>
      <c r="G85" s="7"/>
      <c r="H85" s="5" t="s">
        <v>18</v>
      </c>
      <c r="I85" s="7"/>
      <c r="J85" s="6"/>
      <c r="K85" s="6"/>
      <c r="L85" s="10" t="s">
        <v>177</v>
      </c>
      <c r="M85" s="10" t="s">
        <v>184</v>
      </c>
    </row>
    <row r="86" customFormat="false" ht="15" hidden="false" customHeight="true" outlineLevel="0" collapsed="false">
      <c r="A86" s="9" t="s">
        <v>191</v>
      </c>
      <c r="B86" s="9" t="s">
        <v>192</v>
      </c>
      <c r="C86" s="9" t="s">
        <v>17</v>
      </c>
      <c r="D86" s="9" t="s">
        <v>172</v>
      </c>
      <c r="E86" s="6"/>
      <c r="F86" s="6"/>
      <c r="G86" s="7"/>
      <c r="H86" s="5" t="s">
        <v>18</v>
      </c>
      <c r="I86" s="7"/>
      <c r="J86" s="6"/>
      <c r="K86" s="6"/>
      <c r="L86" s="10" t="s">
        <v>177</v>
      </c>
      <c r="M86" s="10" t="s">
        <v>184</v>
      </c>
    </row>
    <row r="87" customFormat="false" ht="15" hidden="false" customHeight="true" outlineLevel="0" collapsed="false">
      <c r="A87" s="9" t="s">
        <v>193</v>
      </c>
      <c r="B87" s="9" t="s">
        <v>194</v>
      </c>
      <c r="C87" s="9" t="s">
        <v>17</v>
      </c>
      <c r="D87" s="9" t="s">
        <v>172</v>
      </c>
      <c r="E87" s="6"/>
      <c r="F87" s="6"/>
      <c r="G87" s="7"/>
      <c r="H87" s="5" t="s">
        <v>18</v>
      </c>
      <c r="I87" s="7"/>
      <c r="J87" s="6"/>
      <c r="K87" s="6"/>
      <c r="L87" s="10" t="s">
        <v>177</v>
      </c>
      <c r="M87" s="10" t="s">
        <v>195</v>
      </c>
    </row>
    <row r="88" customFormat="false" ht="15" hidden="false" customHeight="true" outlineLevel="0" collapsed="false">
      <c r="A88" s="9" t="s">
        <v>196</v>
      </c>
      <c r="B88" s="9" t="s">
        <v>197</v>
      </c>
      <c r="C88" s="9" t="s">
        <v>198</v>
      </c>
      <c r="D88" s="9" t="s">
        <v>199</v>
      </c>
      <c r="E88" s="6"/>
      <c r="F88" s="6"/>
      <c r="G88" s="7"/>
      <c r="H88" s="5" t="s">
        <v>18</v>
      </c>
      <c r="I88" s="7"/>
      <c r="J88" s="6"/>
      <c r="K88" s="6"/>
      <c r="L88" s="10" t="s">
        <v>177</v>
      </c>
      <c r="M88" s="10" t="s">
        <v>184</v>
      </c>
    </row>
    <row r="89" customFormat="false" ht="15" hidden="false" customHeight="true" outlineLevel="0" collapsed="false">
      <c r="A89" s="9" t="s">
        <v>200</v>
      </c>
      <c r="B89" s="9" t="s">
        <v>201</v>
      </c>
      <c r="C89" s="9" t="s">
        <v>41</v>
      </c>
      <c r="D89" s="9" t="s">
        <v>202</v>
      </c>
      <c r="E89" s="6"/>
      <c r="F89" s="6"/>
      <c r="G89" s="7"/>
      <c r="H89" s="5" t="s">
        <v>18</v>
      </c>
      <c r="I89" s="7"/>
      <c r="J89" s="6"/>
      <c r="K89" s="6"/>
      <c r="L89" s="10" t="s">
        <v>177</v>
      </c>
      <c r="M89" s="10" t="s">
        <v>184</v>
      </c>
    </row>
    <row r="90" customFormat="false" ht="15" hidden="false" customHeight="true" outlineLevel="0" collapsed="false">
      <c r="A90" s="9" t="s">
        <v>203</v>
      </c>
      <c r="B90" s="9" t="s">
        <v>204</v>
      </c>
      <c r="C90" s="9" t="s">
        <v>17</v>
      </c>
      <c r="D90" s="9" t="s">
        <v>205</v>
      </c>
      <c r="E90" s="6"/>
      <c r="F90" s="6"/>
      <c r="G90" s="7"/>
      <c r="H90" s="5" t="s">
        <v>18</v>
      </c>
      <c r="I90" s="7"/>
      <c r="J90" s="6"/>
      <c r="K90" s="6"/>
      <c r="L90" s="10" t="s">
        <v>177</v>
      </c>
      <c r="M90" s="10" t="s">
        <v>206</v>
      </c>
    </row>
    <row r="91" customFormat="false" ht="15" hidden="false" customHeight="true" outlineLevel="0" collapsed="false">
      <c r="A91" s="9" t="s">
        <v>207</v>
      </c>
      <c r="B91" s="9" t="s">
        <v>44</v>
      </c>
      <c r="C91" s="9" t="s">
        <v>17</v>
      </c>
      <c r="D91" s="9" t="s">
        <v>208</v>
      </c>
      <c r="E91" s="6"/>
      <c r="F91" s="6"/>
      <c r="G91" s="7"/>
      <c r="H91" s="5" t="s">
        <v>18</v>
      </c>
      <c r="I91" s="7"/>
      <c r="J91" s="6"/>
      <c r="K91" s="6"/>
      <c r="L91" s="8" t="s">
        <v>49</v>
      </c>
      <c r="M91" s="8" t="s">
        <v>209</v>
      </c>
    </row>
    <row r="92" customFormat="false" ht="15" hidden="false" customHeight="true" outlineLevel="0" collapsed="false">
      <c r="A92" s="9" t="s">
        <v>210</v>
      </c>
      <c r="B92" s="9" t="s">
        <v>211</v>
      </c>
      <c r="C92" s="9" t="s">
        <v>17</v>
      </c>
      <c r="D92" s="9" t="s">
        <v>208</v>
      </c>
      <c r="E92" s="6"/>
      <c r="F92" s="6"/>
      <c r="G92" s="7"/>
      <c r="H92" s="5" t="s">
        <v>18</v>
      </c>
      <c r="I92" s="7"/>
      <c r="J92" s="6"/>
      <c r="K92" s="6"/>
      <c r="L92" s="8" t="s">
        <v>49</v>
      </c>
      <c r="M92" s="8" t="s">
        <v>212</v>
      </c>
    </row>
    <row r="93" customFormat="false" ht="15" hidden="false" customHeight="true" outlineLevel="0" collapsed="false">
      <c r="A93" s="9" t="s">
        <v>213</v>
      </c>
      <c r="B93" s="9" t="s">
        <v>214</v>
      </c>
      <c r="C93" s="9" t="s">
        <v>17</v>
      </c>
      <c r="D93" s="9" t="s">
        <v>215</v>
      </c>
      <c r="E93" s="6"/>
      <c r="F93" s="6"/>
      <c r="G93" s="7"/>
      <c r="H93" s="5" t="s">
        <v>18</v>
      </c>
      <c r="I93" s="7"/>
      <c r="J93" s="6"/>
      <c r="K93" s="6"/>
      <c r="L93" s="10" t="s">
        <v>177</v>
      </c>
      <c r="M93" s="10" t="s">
        <v>216</v>
      </c>
    </row>
    <row r="94" customFormat="false" ht="15" hidden="false" customHeight="true" outlineLevel="0" collapsed="false">
      <c r="A94" s="9" t="s">
        <v>217</v>
      </c>
      <c r="B94" s="9" t="s">
        <v>44</v>
      </c>
      <c r="C94" s="9" t="s">
        <v>17</v>
      </c>
      <c r="D94" s="9" t="s">
        <v>218</v>
      </c>
      <c r="E94" s="6"/>
      <c r="F94" s="6"/>
      <c r="G94" s="7"/>
      <c r="H94" s="5" t="s">
        <v>18</v>
      </c>
      <c r="I94" s="7"/>
      <c r="J94" s="6"/>
      <c r="K94" s="6"/>
      <c r="L94" s="10" t="s">
        <v>55</v>
      </c>
      <c r="M94" s="10" t="s">
        <v>219</v>
      </c>
    </row>
    <row r="95" customFormat="false" ht="15" hidden="false" customHeight="true" outlineLevel="0" collapsed="false">
      <c r="A95" s="9" t="s">
        <v>220</v>
      </c>
      <c r="B95" s="9" t="s">
        <v>221</v>
      </c>
      <c r="C95" s="9" t="s">
        <v>17</v>
      </c>
      <c r="D95" s="9" t="s">
        <v>222</v>
      </c>
      <c r="E95" s="6"/>
      <c r="F95" s="6"/>
      <c r="G95" s="7"/>
      <c r="H95" s="5" t="s">
        <v>18</v>
      </c>
      <c r="I95" s="7"/>
      <c r="J95" s="6"/>
      <c r="K95" s="6"/>
      <c r="L95" s="10" t="s">
        <v>177</v>
      </c>
      <c r="M95" s="10" t="s">
        <v>184</v>
      </c>
    </row>
    <row r="96" customFormat="false" ht="15" hidden="false" customHeight="true" outlineLevel="0" collapsed="false">
      <c r="A96" s="9" t="s">
        <v>223</v>
      </c>
      <c r="B96" s="9" t="s">
        <v>224</v>
      </c>
      <c r="C96" s="9" t="s">
        <v>17</v>
      </c>
      <c r="D96" s="9" t="s">
        <v>225</v>
      </c>
      <c r="E96" s="6"/>
      <c r="F96" s="6"/>
      <c r="G96" s="7"/>
      <c r="H96" s="5" t="s">
        <v>18</v>
      </c>
      <c r="I96" s="7"/>
      <c r="J96" s="6"/>
      <c r="K96" s="6"/>
      <c r="L96" s="10" t="s">
        <v>177</v>
      </c>
      <c r="M96" s="10" t="s">
        <v>184</v>
      </c>
    </row>
    <row r="97" customFormat="false" ht="15" hidden="false" customHeight="true" outlineLevel="0" collapsed="false">
      <c r="A97" s="9" t="s">
        <v>226</v>
      </c>
      <c r="B97" s="9" t="s">
        <v>227</v>
      </c>
      <c r="C97" s="9" t="s">
        <v>107</v>
      </c>
      <c r="D97" s="9" t="s">
        <v>228</v>
      </c>
      <c r="E97" s="6"/>
      <c r="F97" s="6"/>
      <c r="G97" s="7"/>
      <c r="H97" s="5" t="s">
        <v>18</v>
      </c>
      <c r="I97" s="7"/>
      <c r="J97" s="6"/>
      <c r="K97" s="6"/>
      <c r="L97" s="10" t="s">
        <v>177</v>
      </c>
      <c r="M97" s="10" t="s">
        <v>184</v>
      </c>
    </row>
    <row r="98" customFormat="false" ht="15" hidden="false" customHeight="true" outlineLevel="0" collapsed="false">
      <c r="A98" s="9" t="s">
        <v>229</v>
      </c>
      <c r="B98" s="9" t="s">
        <v>230</v>
      </c>
      <c r="C98" s="9" t="s">
        <v>17</v>
      </c>
      <c r="D98" s="9" t="s">
        <v>231</v>
      </c>
      <c r="E98" s="6"/>
      <c r="F98" s="6"/>
      <c r="G98" s="7"/>
      <c r="H98" s="5" t="s">
        <v>18</v>
      </c>
      <c r="I98" s="7"/>
      <c r="J98" s="6"/>
      <c r="K98" s="6"/>
      <c r="L98" s="10" t="s">
        <v>177</v>
      </c>
      <c r="M98" s="10" t="s">
        <v>184</v>
      </c>
    </row>
    <row r="99" customFormat="false" ht="15" hidden="false" customHeight="true" outlineLevel="0" collapsed="false">
      <c r="A99" s="9" t="s">
        <v>232</v>
      </c>
      <c r="B99" s="9" t="s">
        <v>233</v>
      </c>
      <c r="C99" s="9" t="s">
        <v>17</v>
      </c>
      <c r="D99" s="9" t="s">
        <v>234</v>
      </c>
      <c r="E99" s="6"/>
      <c r="F99" s="6"/>
      <c r="G99" s="7"/>
      <c r="H99" s="5" t="s">
        <v>18</v>
      </c>
      <c r="I99" s="7"/>
      <c r="J99" s="6"/>
      <c r="K99" s="6"/>
      <c r="L99" s="10" t="s">
        <v>177</v>
      </c>
      <c r="M99" s="10" t="s">
        <v>184</v>
      </c>
    </row>
    <row r="100" customFormat="false" ht="15" hidden="false" customHeight="true" outlineLevel="0" collapsed="false">
      <c r="A100" s="9" t="s">
        <v>235</v>
      </c>
      <c r="B100" s="9" t="s">
        <v>194</v>
      </c>
      <c r="C100" s="9" t="s">
        <v>17</v>
      </c>
      <c r="D100" s="9" t="s">
        <v>136</v>
      </c>
      <c r="E100" s="6"/>
      <c r="F100" s="6"/>
      <c r="G100" s="7"/>
      <c r="H100" s="5" t="s">
        <v>18</v>
      </c>
      <c r="I100" s="7"/>
      <c r="J100" s="6"/>
      <c r="K100" s="6"/>
      <c r="L100" s="10" t="s">
        <v>177</v>
      </c>
      <c r="M100" s="10" t="s">
        <v>184</v>
      </c>
    </row>
    <row r="101" customFormat="false" ht="15" hidden="false" customHeight="true" outlineLevel="0" collapsed="false">
      <c r="A101" s="9" t="s">
        <v>236</v>
      </c>
      <c r="B101" s="9" t="s">
        <v>237</v>
      </c>
      <c r="C101" s="9" t="s">
        <v>238</v>
      </c>
      <c r="D101" s="9" t="s">
        <v>239</v>
      </c>
      <c r="E101" s="6"/>
      <c r="F101" s="6"/>
      <c r="G101" s="7"/>
      <c r="H101" s="5" t="s">
        <v>18</v>
      </c>
      <c r="I101" s="7"/>
      <c r="J101" s="6"/>
      <c r="K101" s="6"/>
      <c r="L101" s="10" t="s">
        <v>177</v>
      </c>
      <c r="M101" s="10" t="s">
        <v>184</v>
      </c>
    </row>
    <row r="102" customFormat="false" ht="15" hidden="false" customHeight="true" outlineLevel="0" collapsed="false">
      <c r="A102" s="9" t="s">
        <v>240</v>
      </c>
      <c r="B102" s="9" t="s">
        <v>241</v>
      </c>
      <c r="C102" s="9" t="s">
        <v>17</v>
      </c>
      <c r="D102" s="9" t="s">
        <v>242</v>
      </c>
      <c r="E102" s="6"/>
      <c r="F102" s="6"/>
      <c r="G102" s="7"/>
      <c r="H102" s="5" t="s">
        <v>18</v>
      </c>
      <c r="I102" s="7"/>
      <c r="J102" s="6"/>
      <c r="K102" s="6"/>
      <c r="L102" s="10" t="s">
        <v>177</v>
      </c>
      <c r="M102" s="10" t="s">
        <v>184</v>
      </c>
    </row>
    <row r="103" customFormat="false" ht="15" hidden="false" customHeight="true" outlineLevel="0" collapsed="false">
      <c r="A103" s="9" t="s">
        <v>243</v>
      </c>
      <c r="B103" s="9" t="s">
        <v>244</v>
      </c>
      <c r="C103" s="9" t="s">
        <v>183</v>
      </c>
      <c r="D103" s="9" t="s">
        <v>172</v>
      </c>
      <c r="E103" s="6"/>
      <c r="F103" s="6"/>
      <c r="G103" s="7"/>
      <c r="H103" s="5" t="s">
        <v>18</v>
      </c>
      <c r="I103" s="7"/>
      <c r="J103" s="6"/>
      <c r="K103" s="6"/>
      <c r="L103" s="10" t="s">
        <v>177</v>
      </c>
      <c r="M103" s="10" t="s">
        <v>184</v>
      </c>
    </row>
    <row r="104" customFormat="false" ht="15" hidden="false" customHeight="true" outlineLevel="0" collapsed="false">
      <c r="A104" s="9" t="s">
        <v>245</v>
      </c>
      <c r="B104" s="9" t="s">
        <v>246</v>
      </c>
      <c r="C104" s="9" t="s">
        <v>151</v>
      </c>
      <c r="D104" s="9" t="s">
        <v>247</v>
      </c>
      <c r="E104" s="6"/>
      <c r="F104" s="6"/>
      <c r="G104" s="7"/>
      <c r="H104" s="5" t="s">
        <v>18</v>
      </c>
      <c r="I104" s="7"/>
      <c r="J104" s="6"/>
      <c r="K104" s="6"/>
      <c r="L104" s="10" t="s">
        <v>177</v>
      </c>
      <c r="M104" s="10" t="s">
        <v>184</v>
      </c>
    </row>
    <row r="105" customFormat="false" ht="15" hidden="false" customHeight="true" outlineLevel="0" collapsed="false">
      <c r="A105" s="9" t="s">
        <v>248</v>
      </c>
      <c r="B105" s="9" t="s">
        <v>249</v>
      </c>
      <c r="C105" s="9" t="s">
        <v>250</v>
      </c>
      <c r="D105" s="9" t="s">
        <v>251</v>
      </c>
      <c r="E105" s="6"/>
      <c r="F105" s="6"/>
      <c r="G105" s="7"/>
      <c r="H105" s="5" t="s">
        <v>18</v>
      </c>
      <c r="I105" s="7"/>
      <c r="J105" s="6"/>
      <c r="K105" s="6"/>
      <c r="L105" s="10" t="s">
        <v>177</v>
      </c>
      <c r="M105" s="10" t="s">
        <v>184</v>
      </c>
    </row>
    <row r="106" customFormat="false" ht="15" hidden="false" customHeight="true" outlineLevel="0" collapsed="false">
      <c r="A106" s="9" t="s">
        <v>252</v>
      </c>
      <c r="B106" s="9" t="s">
        <v>253</v>
      </c>
      <c r="C106" s="9" t="s">
        <v>17</v>
      </c>
      <c r="D106" s="9" t="s">
        <v>251</v>
      </c>
      <c r="E106" s="6"/>
      <c r="F106" s="6"/>
      <c r="G106" s="7"/>
      <c r="H106" s="5" t="s">
        <v>18</v>
      </c>
      <c r="I106" s="7"/>
      <c r="J106" s="6"/>
      <c r="K106" s="6"/>
      <c r="L106" s="10" t="s">
        <v>177</v>
      </c>
      <c r="M106" s="10" t="s">
        <v>184</v>
      </c>
    </row>
    <row r="107" customFormat="false" ht="15" hidden="false" customHeight="true" outlineLevel="0" collapsed="false">
      <c r="A107" s="6"/>
      <c r="B107" s="6"/>
      <c r="C107" s="6"/>
      <c r="D107" s="6"/>
      <c r="E107" s="6"/>
      <c r="F107" s="6"/>
      <c r="G107" s="7"/>
      <c r="H107" s="5" t="s">
        <v>18</v>
      </c>
      <c r="I107" s="7"/>
      <c r="J107" s="6"/>
      <c r="K107" s="6"/>
      <c r="L107" s="6"/>
      <c r="M107" s="6"/>
    </row>
    <row r="108" customFormat="false" ht="15" hidden="false" customHeight="true" outlineLevel="0" collapsed="false">
      <c r="A108" s="6"/>
      <c r="B108" s="6"/>
      <c r="C108" s="6"/>
      <c r="D108" s="6"/>
      <c r="E108" s="6"/>
      <c r="F108" s="6"/>
      <c r="G108" s="7"/>
      <c r="H108" s="5" t="s">
        <v>18</v>
      </c>
      <c r="I108" s="7"/>
      <c r="J108" s="6"/>
      <c r="K108" s="6"/>
      <c r="L108" s="6"/>
      <c r="M108" s="6"/>
    </row>
    <row r="109" customFormat="false" ht="15" hidden="false" customHeight="true" outlineLevel="0" collapsed="false">
      <c r="A109" s="6"/>
      <c r="B109" s="6"/>
      <c r="C109" s="6"/>
      <c r="D109" s="6"/>
      <c r="E109" s="6"/>
      <c r="F109" s="6"/>
      <c r="G109" s="7"/>
      <c r="H109" s="5" t="s">
        <v>18</v>
      </c>
      <c r="I109" s="7"/>
      <c r="J109" s="6"/>
      <c r="K109" s="6"/>
      <c r="L109" s="6"/>
      <c r="M109" s="6"/>
    </row>
    <row r="110" customFormat="false" ht="15" hidden="false" customHeight="true" outlineLevel="0" collapsed="false">
      <c r="A110" s="6"/>
      <c r="B110" s="6"/>
      <c r="C110" s="6"/>
      <c r="D110" s="6"/>
      <c r="E110" s="6"/>
      <c r="F110" s="6"/>
      <c r="G110" s="7"/>
      <c r="H110" s="5" t="s">
        <v>18</v>
      </c>
      <c r="I110" s="7"/>
      <c r="J110" s="6"/>
      <c r="K110" s="6"/>
      <c r="L110" s="6"/>
      <c r="M110" s="6"/>
    </row>
    <row r="111" customFormat="false" ht="15" hidden="false" customHeight="true" outlineLevel="0" collapsed="false">
      <c r="A111" s="6"/>
      <c r="B111" s="6"/>
      <c r="C111" s="6"/>
      <c r="D111" s="6"/>
      <c r="E111" s="6"/>
      <c r="F111" s="6"/>
      <c r="G111" s="7"/>
      <c r="H111" s="5" t="s">
        <v>18</v>
      </c>
      <c r="I111" s="7"/>
      <c r="J111" s="6"/>
      <c r="K111" s="6"/>
      <c r="L111" s="6"/>
      <c r="M111" s="6"/>
    </row>
    <row r="112" customFormat="false" ht="15" hidden="false" customHeight="true" outlineLevel="0" collapsed="false">
      <c r="A112" s="6"/>
      <c r="B112" s="6"/>
      <c r="C112" s="6"/>
      <c r="D112" s="6"/>
      <c r="E112" s="6"/>
      <c r="F112" s="6"/>
      <c r="G112" s="7"/>
      <c r="H112" s="5" t="s">
        <v>18</v>
      </c>
      <c r="I112" s="7"/>
      <c r="J112" s="6"/>
      <c r="K112" s="6"/>
      <c r="L112" s="6"/>
      <c r="M112" s="6"/>
    </row>
    <row r="113" customFormat="false" ht="15" hidden="false" customHeight="true" outlineLevel="0" collapsed="false">
      <c r="A113" s="6"/>
      <c r="B113" s="6"/>
      <c r="C113" s="6"/>
      <c r="D113" s="6"/>
      <c r="E113" s="6"/>
      <c r="F113" s="6"/>
      <c r="G113" s="7"/>
      <c r="H113" s="5" t="s">
        <v>18</v>
      </c>
      <c r="I113" s="7"/>
      <c r="J113" s="6"/>
      <c r="K113" s="6"/>
      <c r="L113" s="6"/>
      <c r="M113" s="6"/>
    </row>
    <row r="114" customFormat="false" ht="15" hidden="false" customHeight="true" outlineLevel="0" collapsed="false">
      <c r="A114" s="6"/>
      <c r="B114" s="6"/>
      <c r="C114" s="6"/>
      <c r="D114" s="6"/>
      <c r="E114" s="6"/>
      <c r="F114" s="6"/>
      <c r="G114" s="7"/>
      <c r="H114" s="5" t="s">
        <v>18</v>
      </c>
      <c r="I114" s="7"/>
      <c r="J114" s="6"/>
      <c r="K114" s="6"/>
      <c r="L114" s="6"/>
      <c r="M114" s="6"/>
    </row>
  </sheetData>
  <mergeCells count="2">
    <mergeCell ref="A1:M1"/>
    <mergeCell ref="A2:M2"/>
  </mergeCells>
  <dataValidations count="3">
    <dataValidation allowBlank="true" errorStyle="stop" operator="between" showDropDown="false" showErrorMessage="false" showInputMessage="false" sqref="H5:H114" type="list">
      <formula1>"Not Applied,Applied,Screening,Interview Scheduled,Interview Completed,Offer,Rejected,No Response,Withdrawn"</formula1>
      <formula2>0</formula2>
    </dataValidation>
    <dataValidation allowBlank="true" errorStyle="stop" operator="between" showDropDown="false" showErrorMessage="false" showInputMessage="false" sqref="L5:L114" type="list">
      <formula1>"High,Medium,Low"</formula1>
      <formula2>0</formula2>
    </dataValidation>
    <dataValidation allowBlank="true" errorStyle="stop" operator="between" showDropDown="false" showErrorMessage="false" showInputMessage="false" sqref="F5:F114" type="list">
      <formula1>"Hirist,Instahyre,LinkedIn,Naukri,Foundit,Cutshort,myjobb,Arya,Company Website,Referral,Other"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4"/>
    <col collapsed="false" customWidth="true" hidden="false" outlineLevel="0" max="4" min="4" style="1" width="26"/>
    <col collapsed="false" customWidth="true" hidden="false" outlineLevel="0" max="5" min="5" style="1" width="10"/>
  </cols>
  <sheetData>
    <row r="1" customFormat="false" ht="17.25" hidden="false" customHeight="true" outlineLevel="0" collapsed="false">
      <c r="A1" s="2" t="s">
        <v>254</v>
      </c>
      <c r="B1" s="2"/>
      <c r="C1" s="2"/>
      <c r="D1" s="2"/>
      <c r="E1" s="2"/>
    </row>
    <row r="2" customFormat="false" ht="15" hidden="false" customHeight="true" outlineLevel="0" collapsed="false">
      <c r="A2" s="3" t="s">
        <v>255</v>
      </c>
      <c r="B2" s="3"/>
      <c r="C2" s="3"/>
      <c r="D2" s="3"/>
      <c r="E2" s="3"/>
    </row>
    <row r="4" customFormat="false" ht="15" hidden="false" customHeight="true" outlineLevel="0" collapsed="false">
      <c r="A4" s="11" t="s">
        <v>9</v>
      </c>
      <c r="B4" s="11" t="s">
        <v>256</v>
      </c>
      <c r="D4" s="11" t="s">
        <v>3</v>
      </c>
      <c r="E4" s="11" t="s">
        <v>256</v>
      </c>
    </row>
    <row r="5" customFormat="false" ht="15" hidden="false" customHeight="true" outlineLevel="0" collapsed="false">
      <c r="A5" s="5" t="s">
        <v>18</v>
      </c>
      <c r="B5" s="5" t="n">
        <f aca="false">COUNTIF('Application Tracker'!$H$5:$H$150,A5)</f>
        <v>110</v>
      </c>
      <c r="D5" s="5" t="s">
        <v>204</v>
      </c>
      <c r="E5" s="5" t="n">
        <f aca="false">COUNTIF('Application Tracker'!$B$5:$B$150,D5)</f>
        <v>1</v>
      </c>
    </row>
    <row r="6" customFormat="false" ht="15" hidden="false" customHeight="true" outlineLevel="0" collapsed="false">
      <c r="A6" s="5" t="s">
        <v>257</v>
      </c>
      <c r="B6" s="5" t="n">
        <f aca="false">COUNTIF('Application Tracker'!$H$5:$H$150,A6)</f>
        <v>0</v>
      </c>
      <c r="D6" s="5" t="s">
        <v>106</v>
      </c>
      <c r="E6" s="5" t="n">
        <f aca="false">COUNTIF('Application Tracker'!$B$5:$B$150,D6)</f>
        <v>1</v>
      </c>
    </row>
    <row r="7" customFormat="false" ht="15" hidden="false" customHeight="true" outlineLevel="0" collapsed="false">
      <c r="A7" s="5" t="s">
        <v>258</v>
      </c>
      <c r="B7" s="5" t="n">
        <f aca="false">COUNTIF('Application Tracker'!$H$5:$H$150,A7)</f>
        <v>0</v>
      </c>
      <c r="D7" s="5" t="s">
        <v>100</v>
      </c>
      <c r="E7" s="5" t="n">
        <f aca="false">COUNTIF('Application Tracker'!$B$5:$B$150,D7)</f>
        <v>2</v>
      </c>
    </row>
    <row r="8" customFormat="false" ht="15" hidden="false" customHeight="true" outlineLevel="0" collapsed="false">
      <c r="A8" s="5" t="s">
        <v>259</v>
      </c>
      <c r="B8" s="5" t="n">
        <f aca="false">COUNTIF('Application Tracker'!$H$5:$H$150,A8)</f>
        <v>0</v>
      </c>
      <c r="D8" s="5" t="s">
        <v>44</v>
      </c>
      <c r="E8" s="5" t="n">
        <f aca="false">COUNTIF('Application Tracker'!$B$5:$B$150,D8)</f>
        <v>14</v>
      </c>
    </row>
    <row r="9" customFormat="false" ht="15" hidden="false" customHeight="true" outlineLevel="0" collapsed="false">
      <c r="A9" s="5" t="s">
        <v>260</v>
      </c>
      <c r="B9" s="5" t="n">
        <f aca="false">COUNTIF('Application Tracker'!$H$5:$H$150,A9)</f>
        <v>0</v>
      </c>
      <c r="D9" s="5" t="s">
        <v>126</v>
      </c>
      <c r="E9" s="5" t="n">
        <f aca="false">COUNTIF('Application Tracker'!$B$5:$B$150,D9)</f>
        <v>3</v>
      </c>
    </row>
    <row r="10" customFormat="false" ht="15" hidden="false" customHeight="true" outlineLevel="0" collapsed="false">
      <c r="A10" s="5" t="s">
        <v>261</v>
      </c>
      <c r="B10" s="5" t="n">
        <f aca="false">COUNTIF('Application Tracker'!$H$5:$H$150,A10)</f>
        <v>0</v>
      </c>
      <c r="D10" s="5" t="s">
        <v>194</v>
      </c>
      <c r="E10" s="5" t="n">
        <f aca="false">COUNTIF('Application Tracker'!$B$5:$B$150,D10)</f>
        <v>2</v>
      </c>
    </row>
    <row r="11" customFormat="false" ht="15" hidden="false" customHeight="true" outlineLevel="0" collapsed="false">
      <c r="A11" s="5" t="s">
        <v>262</v>
      </c>
      <c r="B11" s="5" t="n">
        <f aca="false">COUNTIF('Application Tracker'!$H$5:$H$150,A11)</f>
        <v>0</v>
      </c>
      <c r="D11" s="5" t="s">
        <v>132</v>
      </c>
      <c r="E11" s="5" t="n">
        <f aca="false">COUNTIF('Application Tracker'!$B$5:$B$150,D11)</f>
        <v>1</v>
      </c>
    </row>
    <row r="12" customFormat="false" ht="15" hidden="false" customHeight="true" outlineLevel="0" collapsed="false">
      <c r="A12" s="5" t="s">
        <v>263</v>
      </c>
      <c r="B12" s="5" t="n">
        <f aca="false">COUNTIF('Application Tracker'!$H$5:$H$150,A12)</f>
        <v>0</v>
      </c>
      <c r="D12" s="5" t="s">
        <v>249</v>
      </c>
      <c r="E12" s="5" t="n">
        <f aca="false">COUNTIF('Application Tracker'!$B$5:$B$150,D12)</f>
        <v>1</v>
      </c>
    </row>
    <row r="13" customFormat="false" ht="15" hidden="false" customHeight="true" outlineLevel="0" collapsed="false">
      <c r="A13" s="5" t="s">
        <v>264</v>
      </c>
      <c r="B13" s="5" t="n">
        <f aca="false">COUNTIF('Application Tracker'!$H$5:$H$150,A13)</f>
        <v>0</v>
      </c>
      <c r="D13" s="5" t="s">
        <v>113</v>
      </c>
      <c r="E13" s="5" t="n">
        <f aca="false">COUNTIF('Application Tracker'!$B$5:$B$150,D13)</f>
        <v>1</v>
      </c>
    </row>
    <row r="14" customFormat="false" ht="15" hidden="false" customHeight="true" outlineLevel="0" collapsed="false">
      <c r="A14" s="12" t="s">
        <v>265</v>
      </c>
      <c r="B14" s="12" t="n">
        <f aca="false">COUNTA('Application Tracker'!$A$5:$A$150)</f>
        <v>102</v>
      </c>
      <c r="D14" s="5" t="s">
        <v>158</v>
      </c>
      <c r="E14" s="5" t="n">
        <f aca="false">COUNTIF('Application Tracker'!$B$5:$B$150,D14)</f>
        <v>1</v>
      </c>
    </row>
    <row r="15" customFormat="false" ht="15" hidden="false" customHeight="true" outlineLevel="0" collapsed="false">
      <c r="A15" s="9" t="s">
        <v>266</v>
      </c>
      <c r="B15" s="9" t="n">
        <v>48</v>
      </c>
      <c r="D15" s="5" t="s">
        <v>253</v>
      </c>
      <c r="E15" s="5" t="n">
        <f aca="false">COUNTIF('Application Tracker'!$B$5:$B$150,D15)</f>
        <v>1</v>
      </c>
    </row>
    <row r="16" customFormat="false" ht="15" hidden="false" customHeight="true" outlineLevel="0" collapsed="false">
      <c r="D16" s="5" t="s">
        <v>135</v>
      </c>
      <c r="E16" s="5" t="n">
        <f aca="false">COUNTIF('Application Tracker'!$B$5:$B$150,D16)</f>
        <v>2</v>
      </c>
    </row>
    <row r="17" customFormat="false" ht="15" hidden="false" customHeight="true" outlineLevel="0" collapsed="false">
      <c r="D17" s="5" t="s">
        <v>233</v>
      </c>
      <c r="E17" s="5" t="n">
        <f aca="false">COUNTIF('Application Tracker'!$B$5:$B$150,D17)</f>
        <v>1</v>
      </c>
    </row>
    <row r="18" customFormat="false" ht="15" hidden="false" customHeight="true" outlineLevel="0" collapsed="false">
      <c r="D18" s="5" t="s">
        <v>227</v>
      </c>
      <c r="E18" s="5" t="n">
        <f aca="false">COUNTIF('Application Tracker'!$B$5:$B$150,D18)</f>
        <v>1</v>
      </c>
    </row>
    <row r="19" customFormat="false" ht="15" hidden="false" customHeight="true" outlineLevel="0" collapsed="false">
      <c r="D19" s="5" t="s">
        <v>237</v>
      </c>
      <c r="E19" s="5" t="n">
        <f aca="false">COUNTIF('Application Tracker'!$B$5:$B$150,D19)</f>
        <v>1</v>
      </c>
    </row>
    <row r="20" customFormat="false" ht="15" hidden="false" customHeight="true" outlineLevel="0" collapsed="false">
      <c r="D20" s="5" t="s">
        <v>104</v>
      </c>
      <c r="E20" s="5" t="n">
        <f aca="false">COUNTIF('Application Tracker'!$B$5:$B$150,D20)</f>
        <v>3</v>
      </c>
    </row>
    <row r="21" customFormat="false" ht="15" hidden="false" customHeight="true" outlineLevel="0" collapsed="false">
      <c r="D21" s="5" t="s">
        <v>109</v>
      </c>
      <c r="E21" s="5" t="n">
        <f aca="false">COUNTIF('Application Tracker'!$B$5:$B$150,D21)</f>
        <v>1</v>
      </c>
    </row>
    <row r="22" customFormat="false" ht="15" hidden="false" customHeight="true" outlineLevel="0" collapsed="false">
      <c r="D22" s="5" t="s">
        <v>120</v>
      </c>
      <c r="E22" s="5" t="n">
        <f aca="false">COUNTIF('Application Tracker'!$B$5:$B$150,D22)</f>
        <v>1</v>
      </c>
    </row>
    <row r="23" customFormat="false" ht="15" hidden="false" customHeight="true" outlineLevel="0" collapsed="false">
      <c r="D23" s="5" t="s">
        <v>64</v>
      </c>
      <c r="E23" s="5" t="n">
        <f aca="false">COUNTIF('Application Tracker'!$B$5:$B$150,D23)</f>
        <v>2</v>
      </c>
    </row>
    <row r="24" customFormat="false" ht="15" hidden="false" customHeight="true" outlineLevel="0" collapsed="false">
      <c r="D24" s="5" t="s">
        <v>117</v>
      </c>
      <c r="E24" s="5" t="n">
        <f aca="false">COUNTIF('Application Tracker'!$B$5:$B$150,D24)</f>
        <v>1</v>
      </c>
    </row>
    <row r="25" customFormat="false" ht="15" hidden="false" customHeight="true" outlineLevel="0" collapsed="false">
      <c r="D25" s="5" t="s">
        <v>201</v>
      </c>
      <c r="E25" s="5" t="n">
        <f aca="false">COUNTIF('Application Tracker'!$B$5:$B$150,D25)</f>
        <v>1</v>
      </c>
    </row>
    <row r="26" customFormat="false" ht="15" hidden="false" customHeight="true" outlineLevel="0" collapsed="false">
      <c r="D26" s="5" t="s">
        <v>76</v>
      </c>
      <c r="E26" s="5" t="n">
        <f aca="false">COUNTIF('Application Tracker'!$B$5:$B$150,D26)</f>
        <v>6</v>
      </c>
    </row>
    <row r="27" customFormat="false" ht="15" hidden="false" customHeight="true" outlineLevel="0" collapsed="false">
      <c r="D27" s="5" t="s">
        <v>167</v>
      </c>
      <c r="E27" s="5" t="n">
        <f aca="false">COUNTIF('Application Tracker'!$B$5:$B$150,D27)</f>
        <v>1</v>
      </c>
    </row>
    <row r="28" customFormat="false" ht="15" hidden="false" customHeight="true" outlineLevel="0" collapsed="false">
      <c r="D28" s="5" t="s">
        <v>163</v>
      </c>
      <c r="E28" s="5" t="n">
        <f aca="false">COUNTIF('Application Tracker'!$B$5:$B$150,D28)</f>
        <v>1</v>
      </c>
    </row>
    <row r="29" customFormat="false" ht="15" hidden="false" customHeight="true" outlineLevel="0" collapsed="false">
      <c r="D29" s="5" t="s">
        <v>244</v>
      </c>
      <c r="E29" s="5" t="n">
        <f aca="false">COUNTIF('Application Tracker'!$B$5:$B$150,D29)</f>
        <v>1</v>
      </c>
    </row>
    <row r="30" customFormat="false" ht="15" hidden="false" customHeight="true" outlineLevel="0" collapsed="false">
      <c r="D30" s="5" t="s">
        <v>214</v>
      </c>
      <c r="E30" s="5" t="n">
        <f aca="false">COUNTIF('Application Tracker'!$B$5:$B$150,D30)</f>
        <v>1</v>
      </c>
    </row>
    <row r="31" customFormat="false" ht="15" hidden="false" customHeight="true" outlineLevel="0" collapsed="false">
      <c r="D31" s="5" t="s">
        <v>154</v>
      </c>
      <c r="E31" s="5" t="n">
        <f aca="false">COUNTIF('Application Tracker'!$B$5:$B$150,D31)</f>
        <v>1</v>
      </c>
    </row>
    <row r="32" customFormat="false" ht="15" hidden="false" customHeight="true" outlineLevel="0" collapsed="false">
      <c r="D32" s="5" t="s">
        <v>61</v>
      </c>
      <c r="E32" s="5" t="n">
        <f aca="false">COUNTIF('Application Tracker'!$B$5:$B$150,D32)</f>
        <v>1</v>
      </c>
    </row>
    <row r="33" customFormat="false" ht="15" hidden="false" customHeight="true" outlineLevel="0" collapsed="false">
      <c r="D33" s="5" t="s">
        <v>211</v>
      </c>
      <c r="E33" s="5" t="n">
        <f aca="false">COUNTIF('Application Tracker'!$B$5:$B$150,D33)</f>
        <v>1</v>
      </c>
    </row>
    <row r="34" customFormat="false" ht="15" hidden="false" customHeight="true" outlineLevel="0" collapsed="false">
      <c r="D34" s="5" t="s">
        <v>192</v>
      </c>
      <c r="E34" s="5" t="n">
        <f aca="false">COUNTIF('Application Tracker'!$B$5:$B$150,D34)</f>
        <v>1</v>
      </c>
    </row>
    <row r="35" customFormat="false" ht="15" hidden="false" customHeight="true" outlineLevel="0" collapsed="false">
      <c r="D35" s="5" t="s">
        <v>241</v>
      </c>
      <c r="E35" s="5" t="n">
        <f aca="false">COUNTIF('Application Tracker'!$B$5:$B$150,D35)</f>
        <v>1</v>
      </c>
    </row>
    <row r="36" customFormat="false" ht="15" hidden="false" customHeight="true" outlineLevel="0" collapsed="false">
      <c r="D36" s="5" t="s">
        <v>40</v>
      </c>
      <c r="E36" s="5" t="n">
        <f aca="false">COUNTIF('Application Tracker'!$B$5:$B$150,D36)</f>
        <v>1</v>
      </c>
    </row>
    <row r="37" customFormat="false" ht="15" hidden="false" customHeight="true" outlineLevel="0" collapsed="false">
      <c r="D37" s="5" t="s">
        <v>36</v>
      </c>
      <c r="E37" s="5" t="n">
        <f aca="false">COUNTIF('Application Tracker'!$B$5:$B$150,D37)</f>
        <v>2</v>
      </c>
    </row>
    <row r="38" customFormat="false" ht="15" hidden="false" customHeight="false" outlineLevel="0" collapsed="false">
      <c r="D38" s="13" t="s">
        <v>230</v>
      </c>
      <c r="E38" s="13" t="n">
        <f aca="false">COUNTIF('Application Tracker'!$B$5:$B$150,D38)</f>
        <v>1</v>
      </c>
    </row>
    <row r="39" customFormat="false" ht="15" hidden="false" customHeight="false" outlineLevel="0" collapsed="false">
      <c r="D39" s="13" t="s">
        <v>224</v>
      </c>
      <c r="E39" s="13" t="n">
        <f aca="false">COUNTIF('Application Tracker'!$B$5:$B$150,D39)</f>
        <v>1</v>
      </c>
    </row>
    <row r="40" customFormat="false" ht="15" hidden="false" customHeight="false" outlineLevel="0" collapsed="false">
      <c r="D40" s="13" t="s">
        <v>66</v>
      </c>
      <c r="E40" s="13" t="n">
        <f aca="false">COUNTIF('Application Tracker'!$B$5:$B$150,D40)</f>
        <v>7</v>
      </c>
    </row>
    <row r="41" customFormat="false" ht="15" hidden="false" customHeight="false" outlineLevel="0" collapsed="false">
      <c r="D41" s="13" t="s">
        <v>97</v>
      </c>
      <c r="E41" s="13" t="n">
        <f aca="false">COUNTIF('Application Tracker'!$B$5:$B$150,D41)</f>
        <v>1</v>
      </c>
    </row>
    <row r="42" customFormat="false" ht="15" hidden="false" customHeight="false" outlineLevel="0" collapsed="false">
      <c r="D42" s="13" t="s">
        <v>186</v>
      </c>
      <c r="E42" s="13" t="n">
        <f aca="false">COUNTIF('Application Tracker'!$B$5:$B$150,D42)</f>
        <v>1</v>
      </c>
    </row>
    <row r="43" customFormat="false" ht="15" hidden="false" customHeight="false" outlineLevel="0" collapsed="false">
      <c r="D43" s="13" t="s">
        <v>221</v>
      </c>
      <c r="E43" s="13" t="n">
        <f aca="false">COUNTIF('Application Tracker'!$B$5:$B$150,D43)</f>
        <v>1</v>
      </c>
    </row>
    <row r="44" customFormat="false" ht="15" hidden="false" customHeight="false" outlineLevel="0" collapsed="false">
      <c r="D44" s="13" t="s">
        <v>86</v>
      </c>
      <c r="E44" s="13" t="n">
        <f aca="false">COUNTIF('Application Tracker'!$B$5:$B$150,D44)</f>
        <v>7</v>
      </c>
    </row>
    <row r="45" customFormat="false" ht="15" hidden="false" customHeight="false" outlineLevel="0" collapsed="false">
      <c r="D45" s="13" t="s">
        <v>30</v>
      </c>
      <c r="E45" s="13" t="n">
        <f aca="false">COUNTIF('Application Tracker'!$B$5:$B$150,D45)</f>
        <v>3</v>
      </c>
    </row>
    <row r="46" customFormat="false" ht="15" hidden="false" customHeight="false" outlineLevel="0" collapsed="false">
      <c r="D46" s="13" t="s">
        <v>16</v>
      </c>
      <c r="E46" s="13" t="n">
        <f aca="false">COUNTIF('Application Tracker'!$B$5:$B$150,D46)</f>
        <v>12</v>
      </c>
    </row>
    <row r="47" customFormat="false" ht="15" hidden="false" customHeight="false" outlineLevel="0" collapsed="false">
      <c r="D47" s="13" t="s">
        <v>246</v>
      </c>
      <c r="E47" s="13" t="n">
        <f aca="false">COUNTIF('Application Tracker'!$B$5:$B$150,D47)</f>
        <v>1</v>
      </c>
    </row>
    <row r="48" customFormat="false" ht="15" hidden="false" customHeight="false" outlineLevel="0" collapsed="false">
      <c r="D48" s="13" t="s">
        <v>175</v>
      </c>
      <c r="E48" s="13" t="n">
        <f aca="false">COUNTIF('Application Tracker'!$B$5:$B$150,D48)</f>
        <v>1</v>
      </c>
    </row>
    <row r="49" customFormat="false" ht="15" hidden="false" customHeight="false" outlineLevel="0" collapsed="false">
      <c r="D49" s="13" t="s">
        <v>32</v>
      </c>
      <c r="E49" s="13" t="n">
        <f aca="false">COUNTIF('Application Tracker'!$B$5:$B$150,D49)</f>
        <v>2</v>
      </c>
    </row>
    <row r="50" customFormat="false" ht="15" hidden="false" customHeight="false" outlineLevel="0" collapsed="false">
      <c r="D50" s="13" t="s">
        <v>190</v>
      </c>
      <c r="E50" s="13" t="n">
        <f aca="false">COUNTIF('Application Tracker'!$B$5:$B$150,D50)</f>
        <v>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2"/>
  </cols>
  <sheetData>
    <row r="1" customFormat="false" ht="17.25" hidden="false" customHeight="true" outlineLevel="0" collapsed="false">
      <c r="A1" s="2" t="s">
        <v>267</v>
      </c>
      <c r="B1" s="2"/>
    </row>
    <row r="3" customFormat="false" ht="33.75" hidden="false" customHeight="true" outlineLevel="0" collapsed="false">
      <c r="A3" s="14" t="s">
        <v>268</v>
      </c>
      <c r="B3" s="15" t="s">
        <v>269</v>
      </c>
    </row>
    <row r="4" customFormat="false" ht="33.75" hidden="false" customHeight="true" outlineLevel="0" collapsed="false">
      <c r="A4" s="14" t="s">
        <v>5</v>
      </c>
      <c r="B4" s="15" t="s">
        <v>270</v>
      </c>
    </row>
    <row r="5" customFormat="false" ht="33.75" hidden="false" customHeight="true" outlineLevel="0" collapsed="false">
      <c r="A5" s="14" t="s">
        <v>271</v>
      </c>
      <c r="B5" s="15" t="s">
        <v>272</v>
      </c>
    </row>
    <row r="6" customFormat="false" ht="33.75" hidden="false" customHeight="true" outlineLevel="0" collapsed="false">
      <c r="A6" s="14" t="s">
        <v>6</v>
      </c>
      <c r="B6" s="15" t="s">
        <v>273</v>
      </c>
    </row>
    <row r="7" customFormat="false" ht="33.75" hidden="false" customHeight="true" outlineLevel="0" collapsed="false">
      <c r="A7" s="14" t="s">
        <v>7</v>
      </c>
      <c r="B7" s="15" t="s">
        <v>274</v>
      </c>
    </row>
    <row r="8" customFormat="false" ht="33.75" hidden="false" customHeight="true" outlineLevel="0" collapsed="false">
      <c r="A8" s="14" t="s">
        <v>8</v>
      </c>
      <c r="B8" s="15" t="s">
        <v>275</v>
      </c>
    </row>
    <row r="9" customFormat="false" ht="33.75" hidden="false" customHeight="true" outlineLevel="0" collapsed="false">
      <c r="A9" s="14" t="s">
        <v>9</v>
      </c>
      <c r="B9" s="15" t="s">
        <v>276</v>
      </c>
    </row>
    <row r="10" customFormat="false" ht="33.75" hidden="false" customHeight="true" outlineLevel="0" collapsed="false">
      <c r="A10" s="14" t="s">
        <v>10</v>
      </c>
      <c r="B10" s="15" t="s">
        <v>277</v>
      </c>
    </row>
    <row r="11" customFormat="false" ht="33.75" hidden="false" customHeight="true" outlineLevel="0" collapsed="false">
      <c r="A11" s="14" t="s">
        <v>11</v>
      </c>
      <c r="B11" s="15" t="s">
        <v>278</v>
      </c>
    </row>
    <row r="12" customFormat="false" ht="33.75" hidden="false" customHeight="true" outlineLevel="0" collapsed="false">
      <c r="A12" s="14" t="s">
        <v>12</v>
      </c>
      <c r="B12" s="15" t="s">
        <v>279</v>
      </c>
    </row>
    <row r="13" customFormat="false" ht="33.75" hidden="false" customHeight="true" outlineLevel="0" collapsed="false">
      <c r="A13" s="14" t="s">
        <v>13</v>
      </c>
      <c r="B13" s="15" t="s">
        <v>280</v>
      </c>
    </row>
    <row r="14" customFormat="false" ht="33.75" hidden="false" customHeight="true" outlineLevel="0" collapsed="false">
      <c r="A14" s="14" t="s">
        <v>14</v>
      </c>
      <c r="B14" s="15" t="s">
        <v>281</v>
      </c>
    </row>
    <row r="15" customFormat="false" ht="33.75" hidden="false" customHeight="true" outlineLevel="0" collapsed="false">
      <c r="A15" s="14" t="s">
        <v>282</v>
      </c>
      <c r="B15" s="15" t="s">
        <v>283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2026-09-03T03:10:57Z</dcterms:created>
  <dc:creator>openpyxl</dc:creator>
  <dc:description/>
  <dc:language>en-US</dc:language>
  <cp:lastModifiedBy/>
  <dcterms:modified xsi:type="dcterms:W3CDTF">2026-09-03T16:37:31Z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
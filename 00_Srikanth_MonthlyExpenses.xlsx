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Exp" sheetId="1" r:id="rId4"/>
    <sheet state="visible" name="AccountInfo" sheetId="2" r:id="rId5"/>
  </sheets>
  <definedNames/>
  <calcPr/>
  <extLst>
    <ext uri="GoogleSheetsCustomDataVersion2">
      <go:sheetsCustomData xmlns:go="http://customooxmlschemas.google.com/" r:id="rId6" roundtripDataChecksum="QnVffUnAbPhQbFWekMiBshRHfqkyquoKXzFSl7EeWHk="/>
    </ext>
  </extLst>
</workbook>
</file>

<file path=xl/sharedStrings.xml><?xml version="1.0" encoding="utf-8"?>
<sst xmlns="http://schemas.openxmlformats.org/spreadsheetml/2006/main" count="307" uniqueCount="225">
  <si>
    <t>Invested Amounts</t>
  </si>
  <si>
    <r>
      <rPr>
        <rFont val="Arial"/>
        <b/>
        <color rgb="FFFF0000"/>
        <sz val="10.0"/>
      </rPr>
      <t>Mutual Funds</t>
    </r>
    <r>
      <rPr>
        <rFont val="Arial"/>
        <color theme="1"/>
        <sz val="10.0"/>
      </rPr>
      <t xml:space="preserve"> Accounts On - </t>
    </r>
    <r>
      <rPr>
        <rFont val="Arial"/>
        <b/>
        <color theme="1"/>
        <sz val="10.0"/>
      </rPr>
      <t>Divya</t>
    </r>
    <r>
      <rPr>
        <rFont val="Arial"/>
        <color theme="1"/>
        <sz val="10.0"/>
      </rPr>
      <t xml:space="preserve"> JUN-2026</t>
    </r>
  </si>
  <si>
    <r>
      <rPr>
        <rFont val="Arial"/>
        <b/>
        <color rgb="FFFF0000"/>
        <sz val="10.0"/>
      </rPr>
      <t>Shyam</t>
    </r>
    <r>
      <rPr>
        <rFont val="Arial"/>
        <color theme="1"/>
        <sz val="10.0"/>
      </rPr>
      <t xml:space="preserve"> Taken for </t>
    </r>
    <r>
      <rPr>
        <rFont val="Arial"/>
        <b/>
        <color theme="1"/>
        <sz val="10.0"/>
      </rPr>
      <t>SARITHA</t>
    </r>
    <r>
      <rPr>
        <rFont val="Arial"/>
        <color theme="1"/>
        <sz val="10.0"/>
      </rPr>
      <t xml:space="preserve"> on [10/APR/2024 -3,00,000],  [31/AUG/2024 - 1,00,000],</t>
    </r>
  </si>
  <si>
    <r>
      <rPr>
        <rFont val="Arial"/>
        <b/>
        <color rgb="FFFF0000"/>
        <sz val="10.0"/>
      </rPr>
      <t>Laddu Anna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>Taken For  HouseRenovation  [</t>
    </r>
    <r>
      <rPr>
        <rFont val="Arial"/>
        <color rgb="FFFF0000"/>
        <sz val="10.0"/>
      </rPr>
      <t>1 Lac-22/JUN/2024, 1 Lac -9/JUL/24</t>
    </r>
    <r>
      <rPr>
        <rFont val="Arial"/>
        <color theme="1"/>
        <sz val="10.0"/>
      </rPr>
      <t>]</t>
    </r>
  </si>
  <si>
    <r>
      <rPr>
        <rFont val="Arial"/>
        <b/>
        <color rgb="FFFF0000"/>
        <sz val="10.0"/>
      </rPr>
      <t>Shyam</t>
    </r>
    <r>
      <rPr>
        <rFont val="Arial"/>
        <color theme="1"/>
        <sz val="10.0"/>
      </rPr>
      <t xml:space="preserve"> Taken for to give </t>
    </r>
    <r>
      <rPr>
        <rFont val="Arial"/>
        <b/>
        <color theme="1"/>
        <sz val="10.0"/>
      </rPr>
      <t xml:space="preserve">VenkatRamReddy </t>
    </r>
    <r>
      <rPr>
        <rFont val="Arial"/>
        <color theme="1"/>
        <sz val="10.0"/>
      </rPr>
      <t>on</t>
    </r>
    <r>
      <rPr>
        <rFont val="Arial"/>
        <b/>
        <color rgb="FFFF0000"/>
        <sz val="10.0"/>
      </rPr>
      <t xml:space="preserve"> 01/DEC/2025</t>
    </r>
  </si>
  <si>
    <r>
      <rPr>
        <rFont val="Arial"/>
        <b/>
        <color rgb="FFFF0000"/>
        <sz val="10.0"/>
      </rPr>
      <t>Cousin Annapurna</t>
    </r>
    <r>
      <rPr>
        <rFont val="Arial"/>
        <color theme="1"/>
        <sz val="10.0"/>
      </rPr>
      <t xml:space="preserve"> taken for to adjust Chit Amount </t>
    </r>
    <r>
      <rPr>
        <rFont val="Arial"/>
        <b/>
        <color rgb="FFFF0000"/>
        <sz val="10.0"/>
      </rPr>
      <t>21/Aug/2025</t>
    </r>
  </si>
  <si>
    <r>
      <rPr>
        <rFont val="Arial"/>
        <b/>
        <color rgb="FFFF0000"/>
        <sz val="10.0"/>
      </rPr>
      <t>Shyam</t>
    </r>
    <r>
      <rPr>
        <rFont val="Arial"/>
        <color theme="1"/>
        <sz val="10.0"/>
      </rPr>
      <t xml:space="preserve"> Taken for </t>
    </r>
    <r>
      <rPr>
        <rFont val="Arial"/>
        <b/>
        <color theme="1"/>
        <sz val="10.0"/>
      </rPr>
      <t xml:space="preserve">Sudhakar Reddy </t>
    </r>
    <r>
      <rPr>
        <rFont val="Arial"/>
        <color theme="1"/>
        <sz val="10.0"/>
      </rPr>
      <t xml:space="preserve">on </t>
    </r>
    <r>
      <rPr>
        <rFont val="Arial"/>
        <b/>
        <color rgb="FFFF0000"/>
        <sz val="10.0"/>
      </rPr>
      <t>23/May/2026</t>
    </r>
  </si>
  <si>
    <r>
      <rPr>
        <rFont val="Arial"/>
        <b/>
        <color rgb="FFFF0000"/>
        <sz val="10.0"/>
      </rPr>
      <t>Cousin Annapurna</t>
    </r>
    <r>
      <rPr>
        <rFont val="Arial"/>
        <color theme="1"/>
        <sz val="10.0"/>
      </rPr>
      <t xml:space="preserve"> taken to give Chit Member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>20/Feb/2026</t>
    </r>
  </si>
  <si>
    <r>
      <rPr>
        <rFont val="Arial"/>
        <b/>
        <color rgb="FFFF0000"/>
        <sz val="10.0"/>
      </rPr>
      <t>Prasad Bellamkonda</t>
    </r>
    <r>
      <rPr>
        <rFont val="Arial"/>
        <color theme="1"/>
        <sz val="10.0"/>
      </rPr>
      <t xml:space="preserve"> taken on</t>
    </r>
    <r>
      <rPr>
        <rFont val="Arial"/>
        <b/>
        <color rgb="FFFF0000"/>
        <sz val="10.0"/>
      </rPr>
      <t xml:space="preserve"> 06/May/2026</t>
    </r>
  </si>
  <si>
    <r>
      <rPr>
        <rFont val="Arial"/>
        <b/>
        <color rgb="FFFF0000"/>
        <sz val="10.0"/>
      </rPr>
      <t>Cousin Annapurna</t>
    </r>
    <r>
      <rPr>
        <rFont val="Arial"/>
        <color theme="1"/>
        <sz val="10.0"/>
      </rPr>
      <t xml:space="preserve"> taken for to give opposite Aunty </t>
    </r>
    <r>
      <rPr>
        <rFont val="Arial"/>
        <b/>
        <color rgb="FFFF0000"/>
        <sz val="10.0"/>
      </rPr>
      <t>18/Feb/2026</t>
    </r>
  </si>
  <si>
    <r>
      <rPr>
        <rFont val="Arial"/>
        <b/>
        <color rgb="FFFF0000"/>
        <sz val="10.0"/>
      </rPr>
      <t>ZERODHA</t>
    </r>
    <r>
      <rPr>
        <rFont val="Arial"/>
        <b/>
        <color theme="1"/>
        <sz val="10.0"/>
      </rPr>
      <t xml:space="preserve"> </t>
    </r>
    <r>
      <rPr>
        <rFont val="Arial"/>
        <color theme="1"/>
        <sz val="10.0"/>
      </rPr>
      <t xml:space="preserve">Trading Account On - </t>
    </r>
    <r>
      <rPr>
        <rFont val="Arial"/>
        <b/>
        <color rgb="FFFF0000"/>
        <sz val="10.0"/>
      </rPr>
      <t>DIVYA</t>
    </r>
  </si>
  <si>
    <t>Total</t>
  </si>
  <si>
    <t>Neeladri Chit</t>
  </si>
  <si>
    <t>Total Loans</t>
  </si>
  <si>
    <t>Total Savings</t>
  </si>
  <si>
    <t>2450000(1JAN)</t>
  </si>
  <si>
    <t>Valuelabs PF Account [ A/c No : APHYD10760890000022520  ]</t>
  </si>
  <si>
    <r>
      <rPr>
        <rFont val="Arial"/>
        <b/>
        <color theme="1"/>
        <sz val="10.0"/>
      </rPr>
      <t>Valuelabs</t>
    </r>
    <r>
      <rPr>
        <rFont val="Arial"/>
        <color theme="1"/>
        <sz val="10.0"/>
      </rPr>
      <t xml:space="preserve"> Gratuity Amount</t>
    </r>
  </si>
  <si>
    <t>Valuelabs Amount</t>
  </si>
  <si>
    <t>Loans Taken From Others</t>
  </si>
  <si>
    <t>Divya Kitty [50,000 Kitty1+ 50,000 Kitty2 + 50,000 DollyFunction]</t>
  </si>
  <si>
    <t xml:space="preserve">CCards [ TCard 40000+ AxCard  +  DCard] Gnani </t>
  </si>
  <si>
    <t>Jagadeesh</t>
  </si>
  <si>
    <t xml:space="preserve">Bajaj FinServe/Chit </t>
  </si>
  <si>
    <r>
      <rPr>
        <rFont val="Arial"/>
        <b/>
        <color rgb="FF000000"/>
        <sz val="11.0"/>
      </rPr>
      <t xml:space="preserve">Mutual Funds In </t>
    </r>
    <r>
      <rPr>
        <rFont val="Arial"/>
        <b/>
        <color rgb="FFFF0000"/>
        <sz val="11.0"/>
      </rPr>
      <t>DIVYA</t>
    </r>
    <r>
      <rPr>
        <rFont val="Arial"/>
        <b/>
        <color rgb="FF000000"/>
        <sz val="11.0"/>
      </rPr>
      <t xml:space="preserve"> account</t>
    </r>
  </si>
  <si>
    <t>Amount</t>
  </si>
  <si>
    <t>Folio Number/ID</t>
  </si>
  <si>
    <t>Mutual Fund Company Name</t>
  </si>
  <si>
    <t>Fund Name</t>
  </si>
  <si>
    <t>Canara Robeco Mutual Fund</t>
  </si>
  <si>
    <t>Canara Robeco Bluechip Equity Fund</t>
  </si>
  <si>
    <t>Axis Mutual Fund</t>
  </si>
  <si>
    <t>Axis Focused Fund</t>
  </si>
  <si>
    <t>Kotak Mutual Fund</t>
  </si>
  <si>
    <t>Kotak SmallCap Fund</t>
  </si>
  <si>
    <t>Mirae Asset Mutual Fund</t>
  </si>
  <si>
    <t>Mirae Asset Large Cap Fund</t>
  </si>
  <si>
    <t>PGIM India Mutual Fund</t>
  </si>
  <si>
    <t>PGIM India Midcap Opportunities Fund</t>
  </si>
  <si>
    <t>Bandhan Mutual Fund</t>
  </si>
  <si>
    <t>Bandhan SmallCap Fund</t>
  </si>
  <si>
    <t>PPFAS Mutual Fund</t>
  </si>
  <si>
    <t>Parag Parikh Flexi Cap Fund</t>
  </si>
  <si>
    <t>Franklin Templeton</t>
  </si>
  <si>
    <t>Franklin India Opportunities Fund</t>
  </si>
  <si>
    <t>Motilal Oswal Mutual Fund</t>
  </si>
  <si>
    <t>Motilal Oswal Midcap Fund</t>
  </si>
  <si>
    <t>ICICI Prudential Mutual Fund</t>
  </si>
  <si>
    <t>ICICI Pru Manufacturing Fund</t>
  </si>
  <si>
    <t>SBI Mutual Fund</t>
  </si>
  <si>
    <t>SBI Energy Opportunities Fund</t>
  </si>
  <si>
    <t>Mirae Asset Large &amp; Mipcap Fund</t>
  </si>
  <si>
    <t>Edelweiss Mutual Fund</t>
  </si>
  <si>
    <t>Edelweiss Midcap Fund</t>
  </si>
  <si>
    <t>Nippon India Mutual Fund</t>
  </si>
  <si>
    <t>Nippon India Consumption Fund</t>
  </si>
  <si>
    <t>Nippon India SmallCap Fund</t>
  </si>
  <si>
    <t>QUANT Mutual Fund</t>
  </si>
  <si>
    <t>Quant Small Cap Fund</t>
  </si>
  <si>
    <t>HDFC Mutual Fund</t>
  </si>
  <si>
    <t>HDFC Mid Cap Fund</t>
  </si>
  <si>
    <t>Nippon India LargeCap Fund</t>
  </si>
  <si>
    <t>Motilal Oswal Large and Midcap Fund</t>
  </si>
  <si>
    <t>Invesco India Mututal Fund</t>
  </si>
  <si>
    <t>Invesco India Smallcap Fund</t>
  </si>
  <si>
    <t>Total Amount in Mutual Funds</t>
  </si>
  <si>
    <t>Lifted Chits Information</t>
  </si>
  <si>
    <t>Paid Amt</t>
  </si>
  <si>
    <t>Chit Number</t>
  </si>
  <si>
    <t>ChitFund Name</t>
  </si>
  <si>
    <t>Name</t>
  </si>
  <si>
    <t>Installment /Month</t>
  </si>
  <si>
    <t>5L-155LP ADB</t>
  </si>
  <si>
    <t>Neeladri Chits</t>
  </si>
  <si>
    <t>Divya</t>
  </si>
  <si>
    <t>Total Chits</t>
  </si>
  <si>
    <t>Need to pay for Chits</t>
  </si>
  <si>
    <t>Not Lifted Chits information</t>
  </si>
  <si>
    <t>Chit Start/End Dates</t>
  </si>
  <si>
    <t>Dec'2025 - July'2027</t>
  </si>
  <si>
    <t>Annapurna Chit</t>
  </si>
  <si>
    <t>Apr'2026 - Nov'2027</t>
  </si>
  <si>
    <t>Jyoshna Chit</t>
  </si>
  <si>
    <t>Gnani</t>
  </si>
  <si>
    <t>May'2026 - Dec'2027</t>
  </si>
  <si>
    <t>Bramaramba</t>
  </si>
  <si>
    <t>Monthly Expenses</t>
  </si>
  <si>
    <t>EMI House Loan</t>
  </si>
  <si>
    <t>Mutual Funds</t>
  </si>
  <si>
    <t>OD/RD/MF/Loan</t>
  </si>
  <si>
    <t>[Started-JAN/24, Ends-APR/2027]</t>
  </si>
  <si>
    <t>Miscellaneous</t>
  </si>
  <si>
    <t>School Tution</t>
  </si>
  <si>
    <t>School Auto</t>
  </si>
  <si>
    <t>Kiranam</t>
  </si>
  <si>
    <t>Petrol</t>
  </si>
  <si>
    <t>Vegitables</t>
  </si>
  <si>
    <t>SukanyaSamrudi</t>
  </si>
  <si>
    <t xml:space="preserve">Milk </t>
  </si>
  <si>
    <t>Power Bill</t>
  </si>
  <si>
    <t xml:space="preserve">Gas+Iron+Dustbin   </t>
  </si>
  <si>
    <t>RD for School Fees</t>
  </si>
  <si>
    <t>RD-Sikanth LIC Insurance</t>
  </si>
  <si>
    <t>EMI Bajaj Loan For House</t>
  </si>
  <si>
    <t>RD-Health Insurance &amp; Divya LIC</t>
  </si>
  <si>
    <t>RD-Internet/Mobile Recharge</t>
  </si>
  <si>
    <t>RD-Car Insurance</t>
  </si>
  <si>
    <t>RD-Car Service</t>
  </si>
  <si>
    <t>RD-Rice</t>
  </si>
  <si>
    <t>UTI</t>
  </si>
  <si>
    <t xml:space="preserve">House Rents </t>
  </si>
  <si>
    <t>CCard</t>
  </si>
  <si>
    <t>Balance</t>
  </si>
  <si>
    <t>₹1,930,000</t>
  </si>
  <si>
    <t>Monthly SIP Amount in Mutual Funds</t>
  </si>
  <si>
    <t>Allocation(%)</t>
  </si>
  <si>
    <t>Monthly SIP Amount</t>
  </si>
  <si>
    <t>SIP Amount</t>
  </si>
  <si>
    <t>5th (₹)</t>
  </si>
  <si>
    <t>15th (₹)</t>
  </si>
  <si>
    <t>25th (₹)</t>
  </si>
  <si>
    <t>Bandhan Small Cap Fund 5*</t>
  </si>
  <si>
    <t>Nippon Small Cap Fund NR</t>
  </si>
  <si>
    <t>Edelweiss Mid Cap Fund 5*</t>
  </si>
  <si>
    <t>HDFC Midcap Fund 5*</t>
  </si>
  <si>
    <t>Nippon India Large Cap Fund 5*</t>
  </si>
  <si>
    <t>Parag Parikh Flexi Cap Fund 5*</t>
  </si>
  <si>
    <t>ICICI Pru India Opportunities Fund 5*</t>
  </si>
  <si>
    <t>Franklin U.S. Opportunities FoF</t>
  </si>
  <si>
    <t>Kotak</t>
  </si>
  <si>
    <t>Thimmareddy Taken Loans From Srikanth</t>
  </si>
  <si>
    <t>Thimmareddy taken from Srikanth for Chit adjustments</t>
  </si>
  <si>
    <t>Sunitha’s personal amount given to ThimmaReddy</t>
  </si>
  <si>
    <t>Srikanth’s personal amount given to ThimmaReddy in Jan/2019</t>
  </si>
  <si>
    <t>Total of amount Srikanth given to Thimmareddy</t>
  </si>
  <si>
    <t>Bramaramba Chit with Anu Started on May'2026</t>
  </si>
  <si>
    <r>
      <rPr>
        <rFont val="Arial"/>
        <b/>
        <color theme="1"/>
        <sz val="10.0"/>
      </rPr>
      <t>PF Account Details</t>
    </r>
  </si>
  <si>
    <t>PF Account UAN Number</t>
  </si>
  <si>
    <t>VALUELABS TECHNOLOGIES PF A/C No</t>
  </si>
  <si>
    <t>APHYD10760890000022520</t>
  </si>
  <si>
    <r>
      <rPr>
        <rFont val="Arial"/>
        <b/>
        <color theme="1"/>
        <sz val="10.0"/>
      </rPr>
      <t>LIC/SBI Insurance Details</t>
    </r>
  </si>
  <si>
    <t>Policy Number</t>
  </si>
  <si>
    <t>Policy Name</t>
  </si>
  <si>
    <t>Sum Insurred Amount</t>
  </si>
  <si>
    <t>Company</t>
  </si>
  <si>
    <t>e-Term Policy</t>
  </si>
  <si>
    <t>Srikanth T</t>
  </si>
  <si>
    <t>60,00,000</t>
  </si>
  <si>
    <t>LIC</t>
  </si>
  <si>
    <t>K5935040</t>
  </si>
  <si>
    <t>ICICI Pru IProtect Supreme</t>
  </si>
  <si>
    <t>50,00,000</t>
  </si>
  <si>
    <t>ICICI</t>
  </si>
  <si>
    <t>Jeevan Mitra Triple Cover</t>
  </si>
  <si>
    <t>05,00,000</t>
  </si>
  <si>
    <t>Anmol Jeevan</t>
  </si>
  <si>
    <t>Divyavani</t>
  </si>
  <si>
    <t>10,00,000</t>
  </si>
  <si>
    <t>PradhanMantri Jeevan Jyoti(PMJJBY)</t>
  </si>
  <si>
    <t>02,00,000</t>
  </si>
  <si>
    <t>SBI</t>
  </si>
  <si>
    <t>PradhanMantri SurakshaBima(PMSBY)</t>
  </si>
  <si>
    <t>Jeevan Anand</t>
  </si>
  <si>
    <t>Siddilingam</t>
  </si>
  <si>
    <t>01,00,000</t>
  </si>
  <si>
    <r>
      <rPr>
        <rFont val="Arial"/>
        <b/>
        <color rgb="FF0000FF"/>
        <sz val="10.0"/>
      </rPr>
      <t xml:space="preserve">E-insurance_account number in </t>
    </r>
    <r>
      <rPr>
        <rFont val="Arial"/>
        <b/>
        <color rgb="FF37751C"/>
        <sz val="10.0"/>
      </rPr>
      <t>camsrepository.com</t>
    </r>
  </si>
  <si>
    <r>
      <rPr>
        <rFont val="Arial"/>
        <b/>
        <color theme="1"/>
        <sz val="10.0"/>
      </rPr>
      <t>MUTUAL FUNDS</t>
    </r>
  </si>
  <si>
    <r>
      <rPr>
        <rFont val="Arial"/>
        <b/>
        <color theme="1"/>
        <sz val="10.0"/>
      </rPr>
      <t>Bank Accounts</t>
    </r>
  </si>
  <si>
    <t xml:space="preserve">Bank </t>
  </si>
  <si>
    <t>Axis</t>
  </si>
  <si>
    <t>FEDERAL</t>
  </si>
  <si>
    <t>SRIKANTH TURPU</t>
  </si>
  <si>
    <t>Srikanth Turpu</t>
  </si>
  <si>
    <t>DIVYAVANI TURPU</t>
  </si>
  <si>
    <t>A/C No</t>
  </si>
  <si>
    <t>Branch</t>
  </si>
  <si>
    <t>HASTINAPURAM</t>
  </si>
  <si>
    <t>Madhapur</t>
  </si>
  <si>
    <t>Tarnaka</t>
  </si>
  <si>
    <t>IFSC</t>
  </si>
  <si>
    <t>SBIN0021227</t>
  </si>
  <si>
    <t>ICIC0000040</t>
  </si>
  <si>
    <t>UTIB0000027</t>
  </si>
  <si>
    <t>Srikanth</t>
  </si>
  <si>
    <t>Srija</t>
  </si>
  <si>
    <t>Sriyan</t>
  </si>
  <si>
    <t>Aadhar No</t>
  </si>
  <si>
    <t>9027-1927-0787</t>
  </si>
  <si>
    <t>7874-5438-8169</t>
  </si>
  <si>
    <t>8868-0972-2809</t>
  </si>
  <si>
    <t>7485-8871-8651</t>
  </si>
  <si>
    <t>PAN No</t>
  </si>
  <si>
    <t>AIFPT5005R</t>
  </si>
  <si>
    <t>BPMPT3500E</t>
  </si>
  <si>
    <t>*************</t>
  </si>
  <si>
    <t>BirthCertifcate AcknwlgNo</t>
  </si>
  <si>
    <t>CastCertfcateNo</t>
  </si>
  <si>
    <t>CND021604801704</t>
  </si>
  <si>
    <t>CKYC No</t>
  </si>
  <si>
    <t>Election ID No</t>
  </si>
  <si>
    <t>ZTS1765256</t>
  </si>
  <si>
    <t>ZTS6492615</t>
  </si>
  <si>
    <t>LPG GAS ID</t>
  </si>
  <si>
    <t>37500000000631403</t>
  </si>
  <si>
    <t>LPG Consumer No</t>
  </si>
  <si>
    <t>House PTIN Num</t>
  </si>
  <si>
    <t>PTIN Application No</t>
  </si>
  <si>
    <t>Ration Card No</t>
  </si>
  <si>
    <t>Other Details</t>
  </si>
  <si>
    <t xml:space="preserve">Shiva </t>
  </si>
  <si>
    <t>charan@2015             9989357638</t>
  </si>
  <si>
    <t>ID: shiva230885
LPWD:kala@1989
EmpID: 1759954</t>
  </si>
  <si>
    <t>ID: 38592191
LPWD: kala#1989
TPWD: shiva#1985</t>
  </si>
  <si>
    <t>Shiva SBI
ID: sharanya0502
LPWD: Kala$1989
PPWD: Shiva$1985</t>
  </si>
  <si>
    <t>Shiva SBI Life
UN:shiva.balija
Pwd: kala@1989</t>
  </si>
  <si>
    <t>Ammi
Lpwd: Arvinisri&amp;123
Tpwd : divsri&amp;123</t>
  </si>
  <si>
    <t>Lalithamma:
Lpwd: Divsri&amp;12345
Tpd : Arvinisri&amp;12345   arvinilalithamma</t>
  </si>
  <si>
    <t>Kala ANDB
ID: 52836159
Lpwd: kala#1989
Tpwd: Shiva@1985</t>
  </si>
  <si>
    <t>Shekar Details
Lpwd: turpu#1987 
Tpwd: shekar#1987</t>
  </si>
  <si>
    <t>Sravani Details
UN:Arvinisravani1986
Lpwd: Divsri%12345
Tpwd: Arvinisri#1234</t>
  </si>
  <si>
    <t>Anu Details
ID: 38632410
LPWD: Bittu#2012
TPWD: Pavani#1987</t>
  </si>
  <si>
    <t>Laddu Details
ID: 519418293
LPWD: Shiva&amp;12</t>
  </si>
  <si>
    <t>DIV0017-div0017</t>
  </si>
  <si>
    <t>LAL0017-lal0017</t>
  </si>
  <si>
    <t>SRI0382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</si>
</sst>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,##0"/>
    <numFmt numFmtId="165" formatCode="[$₹]#,##0"/>
    <numFmt numFmtId="166" formatCode="mmm-yyyy"/>
    <numFmt numFmtId="167" formatCode="#,##0_);(#,##0)"/>
    <numFmt numFmtId="168" formatCode="0;[Red]0"/>
  </numFmts>
  <fonts count="25">
    <font>
      <sz val="11.0"/>
      <color theme="1"/>
      <name val="Calibri"/>
      <scheme val="minor"/>
    </font>
    <font>
      <b/>
      <sz val="11.0"/>
      <color rgb="FF000000"/>
      <name val="Arial"/>
    </font>
    <font/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rgb="FFFF0000"/>
      <name val="Arial"/>
    </font>
    <font>
      <b/>
      <sz val="10.0"/>
      <color rgb="FFFF000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666666"/>
      <name val="Arial"/>
    </font>
    <font>
      <sz val="9.0"/>
      <color theme="1"/>
      <name val="Arial"/>
    </font>
    <font>
      <b/>
      <sz val="9.0"/>
      <color rgb="FF000000"/>
      <name val="Arial"/>
    </font>
    <font>
      <sz val="11.0"/>
      <color rgb="FF000000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b/>
      <color rgb="FFFF0000"/>
      <name val="Arial"/>
    </font>
    <font>
      <b/>
      <sz val="10.0"/>
      <color rgb="FFFF00FF"/>
      <name val="Arial"/>
    </font>
    <font>
      <b/>
      <sz val="10.0"/>
      <color theme="7"/>
      <name val="Arial"/>
    </font>
    <font>
      <sz val="11.0"/>
      <color rgb="FFFFFFFF"/>
      <name val="Arial"/>
    </font>
    <font>
      <color rgb="FFFF0000"/>
      <name val="Arial"/>
    </font>
    <font>
      <sz val="11.0"/>
      <color theme="1"/>
      <name val="Arial"/>
    </font>
    <font>
      <sz val="8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BF9000"/>
        <bgColor rgb="FFBF9000"/>
      </patternFill>
    </fill>
    <fill>
      <patternFill patternType="solid">
        <fgColor rgb="FFB7E1CD"/>
        <bgColor rgb="FFB7E1CD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164" xfId="0" applyAlignment="1" applyBorder="1" applyFont="1" applyNumberFormat="1">
      <alignment horizontal="right" readingOrder="0"/>
    </xf>
    <xf borderId="1" fillId="0" fontId="4" numFmtId="0" xfId="0" applyAlignment="1" applyBorder="1" applyFont="1">
      <alignment horizontal="left" readingOrder="0" vertical="top"/>
    </xf>
    <xf borderId="1" fillId="3" fontId="4" numFmtId="0" xfId="0" applyAlignment="1" applyBorder="1" applyFill="1" applyFont="1">
      <alignment horizontal="left" readingOrder="0" vertical="top"/>
    </xf>
    <xf borderId="1" fillId="4" fontId="4" numFmtId="0" xfId="0" applyAlignment="1" applyBorder="1" applyFill="1" applyFont="1">
      <alignment horizontal="left" readingOrder="0" vertical="top"/>
    </xf>
    <xf borderId="4" fillId="5" fontId="5" numFmtId="164" xfId="0" applyAlignment="1" applyBorder="1" applyFill="1" applyFont="1" applyNumberFormat="1">
      <alignment horizontal="right" readingOrder="0"/>
    </xf>
    <xf borderId="4" fillId="6" fontId="6" numFmtId="0" xfId="0" applyBorder="1" applyFill="1" applyFont="1"/>
    <xf borderId="1" fillId="6" fontId="6" numFmtId="0" xfId="0" applyAlignment="1" applyBorder="1" applyFont="1">
      <alignment horizontal="left" readingOrder="0"/>
    </xf>
    <xf borderId="4" fillId="0" fontId="7" numFmtId="164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4" fillId="7" fontId="9" numFmtId="164" xfId="0" applyBorder="1" applyFill="1" applyFont="1" applyNumberFormat="1"/>
    <xf borderId="4" fillId="7" fontId="10" numFmtId="0" xfId="0" applyBorder="1" applyFont="1"/>
    <xf borderId="1" fillId="7" fontId="10" numFmtId="0" xfId="0" applyAlignment="1" applyBorder="1" applyFont="1">
      <alignment horizontal="left" readingOrder="0"/>
    </xf>
    <xf borderId="3" fillId="7" fontId="11" numFmtId="0" xfId="0" applyAlignment="1" applyBorder="1" applyFont="1">
      <alignment horizontal="left" readingOrder="0"/>
    </xf>
    <xf borderId="4" fillId="0" fontId="4" numFmtId="165" xfId="0" applyAlignment="1" applyBorder="1" applyFont="1" applyNumberFormat="1">
      <alignment horizontal="right" readingOrder="0"/>
    </xf>
    <xf borderId="4" fillId="8" fontId="9" numFmtId="165" xfId="0" applyBorder="1" applyFill="1" applyFont="1" applyNumberFormat="1"/>
    <xf borderId="4" fillId="8" fontId="10" numFmtId="0" xfId="0" applyBorder="1" applyFont="1"/>
    <xf borderId="1" fillId="8" fontId="10" numFmtId="0" xfId="0" applyAlignment="1" applyBorder="1" applyFont="1">
      <alignment horizontal="left" readingOrder="0"/>
    </xf>
    <xf borderId="4" fillId="0" fontId="4" numFmtId="0" xfId="0" applyBorder="1" applyFont="1"/>
    <xf borderId="4" fillId="0" fontId="8" numFmtId="165" xfId="0" applyAlignment="1" applyBorder="1" applyFont="1" applyNumberFormat="1">
      <alignment horizontal="right" readingOrder="0"/>
    </xf>
    <xf borderId="4" fillId="9" fontId="6" numFmtId="3" xfId="0" applyAlignment="1" applyBorder="1" applyFill="1" applyFont="1" applyNumberFormat="1">
      <alignment horizontal="center" readingOrder="0"/>
    </xf>
    <xf borderId="1" fillId="6" fontId="6" numFmtId="3" xfId="0" applyAlignment="1" applyBorder="1" applyFont="1" applyNumberFormat="1">
      <alignment horizontal="center" readingOrder="0"/>
    </xf>
    <xf borderId="4" fillId="10" fontId="4" numFmtId="165" xfId="0" applyAlignment="1" applyBorder="1" applyFill="1" applyFont="1" applyNumberFormat="1">
      <alignment horizontal="right" readingOrder="0"/>
    </xf>
    <xf borderId="1" fillId="0" fontId="6" numFmtId="0" xfId="0" applyAlignment="1" applyBorder="1" applyFont="1">
      <alignment horizontal="left" readingOrder="0"/>
    </xf>
    <xf borderId="1" fillId="0" fontId="6" numFmtId="3" xfId="0" applyAlignment="1" applyBorder="1" applyFont="1" applyNumberFormat="1">
      <alignment horizontal="left" readingOrder="0"/>
    </xf>
    <xf borderId="1" fillId="0" fontId="12" numFmtId="3" xfId="0" applyAlignment="1" applyBorder="1" applyFont="1" applyNumberFormat="1">
      <alignment horizontal="left" readingOrder="0"/>
    </xf>
    <xf borderId="1" fillId="11" fontId="5" numFmtId="0" xfId="0" applyAlignment="1" applyBorder="1" applyFill="1" applyFont="1">
      <alignment horizontal="left" readingOrder="0"/>
    </xf>
    <xf borderId="1" fillId="11" fontId="5" numFmtId="3" xfId="0" applyAlignment="1" applyBorder="1" applyFont="1" applyNumberFormat="1">
      <alignment horizontal="left" readingOrder="0"/>
    </xf>
    <xf borderId="1" fillId="12" fontId="5" numFmtId="0" xfId="0" applyAlignment="1" applyBorder="1" applyFill="1" applyFont="1">
      <alignment horizontal="left" readingOrder="0"/>
    </xf>
    <xf borderId="1" fillId="12" fontId="5" numFmtId="3" xfId="0" applyAlignment="1" applyBorder="1" applyFont="1" applyNumberFormat="1">
      <alignment horizontal="left" readingOrder="0"/>
    </xf>
    <xf borderId="1" fillId="13" fontId="6" numFmtId="0" xfId="0" applyAlignment="1" applyBorder="1" applyFill="1" applyFont="1">
      <alignment horizontal="left" readingOrder="0"/>
    </xf>
    <xf borderId="1" fillId="13" fontId="6" numFmtId="3" xfId="0" applyAlignment="1" applyBorder="1" applyFont="1" applyNumberFormat="1">
      <alignment horizontal="left" readingOrder="0"/>
    </xf>
    <xf borderId="1" fillId="0" fontId="4" numFmtId="3" xfId="0" applyAlignment="1" applyBorder="1" applyFont="1" applyNumberFormat="1">
      <alignment horizontal="left" readingOrder="0"/>
    </xf>
    <xf borderId="4" fillId="7" fontId="9" numFmtId="165" xfId="0" applyBorder="1" applyFont="1" applyNumberFormat="1"/>
    <xf borderId="4" fillId="14" fontId="6" numFmtId="3" xfId="0" applyAlignment="1" applyBorder="1" applyFill="1" applyFont="1" applyNumberFormat="1">
      <alignment horizontal="right" readingOrder="0"/>
    </xf>
    <xf borderId="1" fillId="6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4" fillId="0" fontId="6" numFmtId="165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4" numFmtId="0" xfId="0" applyBorder="1" applyFont="1"/>
    <xf borderId="4" fillId="0" fontId="4" numFmtId="165" xfId="0" applyAlignment="1" applyBorder="1" applyFont="1" applyNumberFormat="1">
      <alignment horizontal="right" readingOrder="0"/>
    </xf>
    <xf borderId="4" fillId="14" fontId="6" numFmtId="0" xfId="0" applyBorder="1" applyFont="1"/>
    <xf borderId="1" fillId="14" fontId="6" numFmtId="0" xfId="0" applyAlignment="1" applyBorder="1" applyFont="1">
      <alignment horizontal="left" readingOrder="0"/>
    </xf>
    <xf borderId="0" fillId="0" fontId="4" numFmtId="3" xfId="0" applyAlignment="1" applyFont="1" applyNumberFormat="1">
      <alignment horizontal="right"/>
    </xf>
    <xf borderId="1" fillId="0" fontId="4" numFmtId="166" xfId="0" applyAlignment="1" applyBorder="1" applyFont="1" applyNumberFormat="1">
      <alignment horizontal="left" readingOrder="0"/>
    </xf>
    <xf borderId="5" fillId="6" fontId="1" numFmtId="0" xfId="0" applyAlignment="1" applyBorder="1" applyFont="1">
      <alignment horizontal="center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6" fontId="5" numFmtId="0" xfId="0" applyAlignment="1" applyBorder="1" applyFont="1">
      <alignment horizontal="center" readingOrder="0" shrinkToFit="0" vertical="top" wrapText="1"/>
    </xf>
    <xf borderId="8" fillId="6" fontId="13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horizontal="center" readingOrder="0" shrinkToFit="0" vertical="bottom" wrapText="0"/>
    </xf>
    <xf borderId="4" fillId="6" fontId="1" numFmtId="0" xfId="0" applyAlignment="1" applyBorder="1" applyFont="1">
      <alignment horizontal="center" readingOrder="0" shrinkToFit="0" vertical="bottom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6" fontId="1" numFmtId="0" xfId="0" applyAlignment="1" applyBorder="1" applyFont="1">
      <alignment horizontal="center" readingOrder="0" shrinkToFit="0" vertical="top" wrapText="0"/>
    </xf>
    <xf borderId="1" fillId="0" fontId="3" numFmtId="165" xfId="0" applyAlignment="1" applyBorder="1" applyFont="1" applyNumberFormat="1">
      <alignment readingOrder="0" shrinkToFit="0" vertical="bottom" wrapText="0"/>
    </xf>
    <xf borderId="4" fillId="0" fontId="14" numFmtId="9" xfId="0" applyAlignment="1" applyBorder="1" applyFont="1" applyNumberFormat="1">
      <alignment horizontal="right" readingOrder="0" shrinkToFit="0" vertical="bottom" wrapText="0"/>
    </xf>
    <xf borderId="4" fillId="0" fontId="14" numFmtId="167" xfId="0" applyAlignment="1" applyBorder="1" applyFont="1" applyNumberFormat="1">
      <alignment horizontal="right" readingOrder="0" shrinkToFit="0" vertical="bottom" wrapText="0"/>
    </xf>
    <xf borderId="1" fillId="15" fontId="3" numFmtId="165" xfId="0" applyAlignment="1" applyBorder="1" applyFill="1" applyFont="1" applyNumberFormat="1">
      <alignment readingOrder="0" shrinkToFit="0" vertical="bottom" wrapText="0"/>
    </xf>
    <xf borderId="4" fillId="15" fontId="14" numFmtId="9" xfId="0" applyAlignment="1" applyBorder="1" applyFont="1" applyNumberFormat="1">
      <alignment horizontal="right" readingOrder="0" shrinkToFit="0" vertical="bottom" wrapText="0"/>
    </xf>
    <xf borderId="4" fillId="15" fontId="14" numFmtId="167" xfId="0" applyAlignment="1" applyBorder="1" applyFont="1" applyNumberFormat="1">
      <alignment horizontal="right" readingOrder="0" shrinkToFit="0" vertical="bottom" wrapText="0"/>
    </xf>
    <xf borderId="1" fillId="6" fontId="1" numFmtId="9" xfId="0" applyAlignment="1" applyBorder="1" applyFont="1" applyNumberFormat="1">
      <alignment horizontal="center" readingOrder="0" shrinkToFit="0" vertical="bottom" wrapText="0"/>
    </xf>
    <xf borderId="4" fillId="6" fontId="1" numFmtId="9" xfId="0" applyAlignment="1" applyBorder="1" applyFont="1" applyNumberFormat="1">
      <alignment readingOrder="0" shrinkToFit="0" vertical="bottom" wrapText="0"/>
    </xf>
    <xf borderId="4" fillId="6" fontId="1" numFmtId="167" xfId="0" applyAlignment="1" applyBorder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6" fontId="6" numFmtId="0" xfId="0" applyAlignment="1" applyBorder="1" applyFont="1">
      <alignment horizontal="left"/>
    </xf>
    <xf borderId="1" fillId="16" fontId="15" numFmtId="0" xfId="0" applyAlignment="1" applyBorder="1" applyFill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1" fillId="0" fontId="15" numFmtId="1" xfId="0" applyAlignment="1" applyBorder="1" applyFont="1" applyNumberFormat="1">
      <alignment horizontal="center" shrinkToFit="0" wrapText="1"/>
    </xf>
    <xf borderId="4" fillId="0" fontId="16" numFmtId="0" xfId="0" applyBorder="1" applyFont="1"/>
    <xf borderId="1" fillId="0" fontId="15" numFmtId="0" xfId="0" applyAlignment="1" applyBorder="1" applyFont="1">
      <alignment horizontal="center" readingOrder="0" shrinkToFit="0" wrapText="1"/>
    </xf>
    <xf borderId="1" fillId="17" fontId="15" numFmtId="0" xfId="0" applyAlignment="1" applyBorder="1" applyFill="1" applyFont="1">
      <alignment horizontal="center"/>
    </xf>
    <xf borderId="1" fillId="17" fontId="15" numFmtId="0" xfId="0" applyAlignment="1" applyBorder="1" applyFont="1">
      <alignment horizontal="center" shrinkToFit="0" wrapText="1"/>
    </xf>
    <xf borderId="3" fillId="17" fontId="15" numFmtId="0" xfId="0" applyAlignment="1" applyBorder="1" applyFont="1">
      <alignment horizontal="center" readingOrder="0" shrinkToFit="0" wrapText="1"/>
    </xf>
    <xf borderId="1" fillId="17" fontId="15" numFmtId="0" xfId="0" applyAlignment="1" applyBorder="1" applyFont="1">
      <alignment horizontal="center" readingOrder="0"/>
    </xf>
    <xf borderId="4" fillId="17" fontId="15" numFmtId="0" xfId="0" applyBorder="1" applyFont="1"/>
    <xf borderId="4" fillId="17" fontId="16" numFmtId="0" xfId="0" applyBorder="1" applyFont="1"/>
    <xf borderId="1" fillId="17" fontId="15" numFmtId="1" xfId="0" applyAlignment="1" applyBorder="1" applyFont="1" applyNumberFormat="1">
      <alignment horizontal="center"/>
    </xf>
    <xf borderId="1" fillId="0" fontId="17" numFmtId="0" xfId="0" applyAlignment="1" applyBorder="1" applyFont="1">
      <alignment shrinkToFit="0" wrapText="1"/>
    </xf>
    <xf borderId="4" fillId="0" fontId="17" numFmtId="0" xfId="0" applyAlignment="1" applyBorder="1" applyFont="1">
      <alignment shrinkToFit="0" wrapText="1"/>
    </xf>
    <xf borderId="1" fillId="0" fontId="17" numFmtId="0" xfId="0" applyAlignment="1" applyBorder="1" applyFont="1">
      <alignment horizontal="center" shrinkToFit="0" wrapText="1"/>
    </xf>
    <xf borderId="1" fillId="17" fontId="15" numFmtId="1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4" fillId="0" fontId="17" numFmtId="0" xfId="0" applyAlignment="1" applyBorder="1" applyFont="1">
      <alignment readingOrder="0" shrinkToFit="0" wrapText="1"/>
    </xf>
    <xf borderId="1" fillId="17" fontId="16" numFmtId="0" xfId="0" applyAlignment="1" applyBorder="1" applyFont="1">
      <alignment horizontal="center"/>
    </xf>
    <xf borderId="4" fillId="0" fontId="12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1" fillId="0" fontId="18" numFmtId="168" xfId="0" applyBorder="1" applyFont="1" applyNumberFormat="1"/>
    <xf borderId="4" fillId="18" fontId="6" numFmtId="3" xfId="0" applyAlignment="1" applyBorder="1" applyFill="1" applyFont="1" applyNumberFormat="1">
      <alignment horizontal="center" readingOrder="0"/>
    </xf>
    <xf borderId="1" fillId="12" fontId="6" numFmtId="3" xfId="0" applyAlignment="1" applyBorder="1" applyFont="1" applyNumberFormat="1">
      <alignment horizontal="center" readingOrder="0"/>
    </xf>
    <xf borderId="1" fillId="0" fontId="19" numFmtId="3" xfId="0" applyAlignment="1" applyBorder="1" applyFont="1" applyNumberFormat="1">
      <alignment horizontal="left" readingOrder="0"/>
    </xf>
    <xf borderId="1" fillId="0" fontId="20" numFmtId="3" xfId="0" applyAlignment="1" applyBorder="1" applyFont="1" applyNumberFormat="1">
      <alignment horizontal="left" readingOrder="0"/>
    </xf>
    <xf borderId="4" fillId="7" fontId="21" numFmtId="0" xfId="0" applyAlignment="1" applyBorder="1" applyFont="1">
      <alignment readingOrder="0"/>
    </xf>
    <xf borderId="4" fillId="17" fontId="15" numFmtId="0" xfId="0" applyAlignment="1" applyBorder="1" applyFont="1">
      <alignment shrinkToFit="0" wrapText="1"/>
    </xf>
    <xf borderId="1" fillId="0" fontId="22" numFmtId="0" xfId="0" applyAlignment="1" applyBorder="1" applyFont="1">
      <alignment horizontal="center" shrinkToFit="0" wrapText="1"/>
    </xf>
    <xf borderId="4" fillId="0" fontId="22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left" shrinkToFit="0" wrapText="1"/>
    </xf>
    <xf borderId="1" fillId="0" fontId="17" numFmtId="0" xfId="0" applyAlignment="1" applyBorder="1" applyFont="1">
      <alignment horizontal="left" readingOrder="0" shrinkToFit="0" wrapText="1"/>
    </xf>
    <xf borderId="4" fillId="0" fontId="16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readingOrder="0" shrinkToFit="0" wrapText="1"/>
    </xf>
    <xf borderId="0" fillId="19" fontId="23" numFmtId="0" xfId="0" applyAlignment="1" applyFill="1" applyFont="1">
      <alignment horizontal="left" vertical="bottom"/>
    </xf>
    <xf borderId="3" fillId="0" fontId="16" numFmtId="0" xfId="0" applyAlignment="1" applyBorder="1" applyFont="1">
      <alignment horizontal="left"/>
    </xf>
    <xf borderId="0" fillId="19" fontId="4" numFmtId="0" xfId="0" applyAlignment="1" applyFont="1">
      <alignment horizontal="left" vertical="bottom"/>
    </xf>
    <xf borderId="4" fillId="0" fontId="16" numFmtId="0" xfId="0" applyAlignment="1" applyBorder="1" applyFont="1">
      <alignment horizontal="left"/>
    </xf>
    <xf borderId="1" fillId="16" fontId="16" numFmtId="0" xfId="0" applyBorder="1" applyFont="1"/>
    <xf borderId="1" fillId="17" fontId="15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horizontal="right" shrinkToFit="0" vertical="top" wrapText="1"/>
    </xf>
    <xf borderId="1" fillId="0" fontId="17" numFmtId="0" xfId="0" applyAlignment="1" applyBorder="1" applyFont="1">
      <alignment horizontal="right" shrinkToFit="0" vertical="top" wrapText="1"/>
    </xf>
    <xf borderId="1" fillId="17" fontId="15" numFmtId="0" xfId="0" applyAlignment="1" applyBorder="1" applyFont="1">
      <alignment readingOrder="0" shrinkToFit="0" vertical="top" wrapText="1"/>
    </xf>
    <xf borderId="1" fillId="0" fontId="17" numFmtId="0" xfId="0" applyAlignment="1" applyBorder="1" applyFont="1">
      <alignment horizontal="right" readingOrder="0" shrinkToFit="0" vertical="top" wrapText="1"/>
    </xf>
    <xf borderId="1" fillId="0" fontId="17" numFmtId="1" xfId="0" applyAlignment="1" applyBorder="1" applyFont="1" applyNumberFormat="1">
      <alignment horizontal="right" vertical="top"/>
    </xf>
    <xf borderId="1" fillId="0" fontId="16" numFmtId="0" xfId="0" applyAlignment="1" applyBorder="1" applyFont="1">
      <alignment horizontal="right" vertical="top"/>
    </xf>
    <xf borderId="2" fillId="0" fontId="17" numFmtId="1" xfId="0" applyAlignment="1" applyBorder="1" applyFont="1" applyNumberFormat="1">
      <alignment vertical="top"/>
    </xf>
    <xf borderId="1" fillId="0" fontId="17" numFmtId="1" xfId="0" applyAlignment="1" applyBorder="1" applyFont="1" applyNumberFormat="1">
      <alignment vertical="top"/>
    </xf>
    <xf borderId="1" fillId="17" fontId="16" numFmtId="0" xfId="0" applyAlignment="1" applyBorder="1" applyFont="1">
      <alignment vertical="top"/>
    </xf>
    <xf borderId="2" fillId="0" fontId="16" numFmtId="1" xfId="0" applyAlignment="1" applyBorder="1" applyFont="1" applyNumberFormat="1">
      <alignment vertical="top"/>
    </xf>
    <xf borderId="4" fillId="0" fontId="17" numFmtId="0" xfId="0" applyAlignment="1" applyBorder="1" applyFont="1">
      <alignment vertical="top"/>
    </xf>
    <xf borderId="4" fillId="0" fontId="17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24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8" width="10.14"/>
    <col customWidth="1" min="9" max="9" width="1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>
        <f>SUM(A49)</f>
        <v>2050000</v>
      </c>
      <c r="C2" s="5" t="s">
        <v>1</v>
      </c>
      <c r="D2" s="2"/>
      <c r="E2" s="2"/>
      <c r="F2" s="2"/>
      <c r="G2" s="2"/>
      <c r="H2" s="2"/>
      <c r="I2" s="3"/>
    </row>
    <row r="3">
      <c r="A3" s="4">
        <v>400000.0</v>
      </c>
      <c r="C3" s="6" t="s">
        <v>2</v>
      </c>
      <c r="D3" s="2"/>
      <c r="E3" s="2"/>
      <c r="F3" s="2"/>
      <c r="G3" s="2"/>
      <c r="H3" s="2"/>
      <c r="I3" s="3"/>
    </row>
    <row r="4" ht="16.5" customHeight="1">
      <c r="A4" s="4">
        <v>200000.0</v>
      </c>
      <c r="C4" s="5" t="s">
        <v>3</v>
      </c>
      <c r="D4" s="2"/>
      <c r="E4" s="2"/>
      <c r="F4" s="2"/>
      <c r="G4" s="2"/>
      <c r="H4" s="2"/>
      <c r="I4" s="3"/>
    </row>
    <row r="5">
      <c r="A5" s="4">
        <v>200000.0</v>
      </c>
      <c r="C5" s="6" t="s">
        <v>4</v>
      </c>
      <c r="D5" s="2"/>
      <c r="E5" s="2"/>
      <c r="F5" s="2"/>
      <c r="G5" s="2"/>
      <c r="H5" s="2"/>
      <c r="I5" s="3"/>
    </row>
    <row r="6">
      <c r="A6" s="4">
        <v>200000.0</v>
      </c>
      <c r="C6" s="7" t="s">
        <v>5</v>
      </c>
      <c r="D6" s="2"/>
      <c r="E6" s="2"/>
      <c r="F6" s="2"/>
      <c r="G6" s="2"/>
      <c r="H6" s="2"/>
      <c r="I6" s="3"/>
    </row>
    <row r="7">
      <c r="A7" s="4">
        <v>100000.0</v>
      </c>
      <c r="C7" s="7" t="s">
        <v>6</v>
      </c>
      <c r="D7" s="2"/>
      <c r="E7" s="2"/>
      <c r="F7" s="2"/>
      <c r="G7" s="2"/>
      <c r="H7" s="2"/>
      <c r="I7" s="3"/>
    </row>
    <row r="8">
      <c r="A8" s="4">
        <v>42000.0</v>
      </c>
      <c r="C8" s="7" t="s">
        <v>7</v>
      </c>
      <c r="D8" s="2"/>
      <c r="E8" s="2"/>
      <c r="F8" s="2"/>
      <c r="G8" s="2"/>
      <c r="H8" s="2"/>
      <c r="I8" s="3"/>
    </row>
    <row r="9">
      <c r="A9" s="4">
        <v>40000.0</v>
      </c>
      <c r="C9" s="6" t="s">
        <v>8</v>
      </c>
      <c r="D9" s="2"/>
      <c r="E9" s="2"/>
      <c r="F9" s="2"/>
      <c r="G9" s="2"/>
      <c r="H9" s="2"/>
      <c r="I9" s="3"/>
    </row>
    <row r="10">
      <c r="A10" s="4">
        <v>30000.0</v>
      </c>
      <c r="C10" s="7" t="s">
        <v>9</v>
      </c>
      <c r="D10" s="2"/>
      <c r="E10" s="2"/>
      <c r="F10" s="2"/>
      <c r="G10" s="2"/>
      <c r="H10" s="2"/>
      <c r="I10" s="3"/>
    </row>
    <row r="11">
      <c r="A11" s="4">
        <v>30000.0</v>
      </c>
      <c r="C11" s="5" t="s">
        <v>10</v>
      </c>
      <c r="D11" s="2"/>
      <c r="E11" s="2"/>
      <c r="F11" s="2"/>
      <c r="G11" s="2"/>
      <c r="H11" s="2"/>
      <c r="I11" s="3"/>
    </row>
    <row r="12">
      <c r="A12" s="8">
        <f>SUM(A2:A11)</f>
        <v>3292000</v>
      </c>
      <c r="B12" s="9"/>
      <c r="C12" s="10" t="s">
        <v>11</v>
      </c>
      <c r="D12" s="2"/>
      <c r="E12" s="2"/>
      <c r="F12" s="2"/>
      <c r="G12" s="2"/>
      <c r="H12" s="2"/>
      <c r="I12" s="3"/>
    </row>
    <row r="13">
      <c r="A13" s="11">
        <f>SUM(A55)</f>
        <v>-125740</v>
      </c>
      <c r="C13" s="12" t="s">
        <v>12</v>
      </c>
      <c r="D13" s="2"/>
      <c r="E13" s="2"/>
      <c r="F13" s="2"/>
      <c r="G13" s="2"/>
      <c r="H13" s="2"/>
      <c r="I13" s="3"/>
    </row>
    <row r="14">
      <c r="A14" s="11">
        <f>SUM(A24)</f>
        <v>-233396</v>
      </c>
      <c r="C14" s="13" t="s">
        <v>13</v>
      </c>
      <c r="D14" s="2"/>
      <c r="E14" s="2"/>
      <c r="F14" s="2"/>
      <c r="G14" s="2"/>
      <c r="H14" s="2"/>
      <c r="I14" s="3"/>
    </row>
    <row r="15">
      <c r="A15" s="14">
        <f>SUM(A12:A14)</f>
        <v>2932864</v>
      </c>
      <c r="B15" s="15"/>
      <c r="C15" s="16" t="s">
        <v>14</v>
      </c>
      <c r="D15" s="2"/>
      <c r="E15" s="2"/>
      <c r="F15" s="2"/>
      <c r="G15" s="2"/>
      <c r="H15" s="2"/>
      <c r="I15" s="17" t="s">
        <v>15</v>
      </c>
    </row>
    <row r="16">
      <c r="A16" s="18">
        <v>450000.0</v>
      </c>
      <c r="C16" s="5" t="s">
        <v>16</v>
      </c>
      <c r="D16" s="2"/>
      <c r="E16" s="2"/>
      <c r="F16" s="2"/>
      <c r="G16" s="2"/>
      <c r="H16" s="2"/>
      <c r="I16" s="3"/>
    </row>
    <row r="17">
      <c r="A17" s="18">
        <v>550000.0</v>
      </c>
      <c r="C17" s="5" t="s">
        <v>17</v>
      </c>
      <c r="D17" s="2"/>
      <c r="E17" s="2"/>
      <c r="F17" s="2"/>
      <c r="G17" s="2"/>
      <c r="H17" s="2"/>
      <c r="I17" s="3"/>
    </row>
    <row r="18">
      <c r="A18" s="19">
        <f>SUM(A16:A17)</f>
        <v>1000000</v>
      </c>
      <c r="B18" s="20"/>
      <c r="C18" s="21" t="s">
        <v>18</v>
      </c>
      <c r="D18" s="2"/>
      <c r="E18" s="2"/>
      <c r="F18" s="2"/>
      <c r="G18" s="2"/>
      <c r="H18" s="2"/>
      <c r="I18" s="3"/>
    </row>
    <row r="19">
      <c r="A19" s="1" t="s">
        <v>19</v>
      </c>
      <c r="B19" s="2"/>
      <c r="C19" s="2"/>
      <c r="D19" s="2"/>
      <c r="E19" s="2"/>
      <c r="F19" s="2"/>
      <c r="G19" s="2"/>
      <c r="H19" s="2"/>
      <c r="I19" s="3"/>
    </row>
    <row r="20">
      <c r="A20" s="18">
        <v>-150000.0</v>
      </c>
      <c r="C20" s="5" t="s">
        <v>20</v>
      </c>
      <c r="D20" s="2"/>
      <c r="E20" s="2"/>
      <c r="F20" s="2"/>
      <c r="G20" s="2"/>
      <c r="H20" s="3"/>
      <c r="I20" s="22"/>
    </row>
    <row r="21">
      <c r="A21" s="18">
        <v>-40000.0</v>
      </c>
      <c r="C21" s="5" t="s">
        <v>21</v>
      </c>
      <c r="D21" s="2"/>
      <c r="E21" s="2"/>
      <c r="F21" s="2"/>
      <c r="G21" s="2"/>
      <c r="H21" s="3"/>
      <c r="I21" s="22"/>
    </row>
    <row r="22">
      <c r="A22" s="18">
        <v>-43396.0</v>
      </c>
      <c r="C22" s="5" t="s">
        <v>22</v>
      </c>
      <c r="D22" s="2"/>
      <c r="E22" s="2"/>
      <c r="F22" s="2"/>
      <c r="G22" s="2"/>
      <c r="H22" s="3"/>
      <c r="I22" s="22"/>
    </row>
    <row r="23">
      <c r="A23" s="18">
        <v>0.0</v>
      </c>
      <c r="C23" s="5" t="s">
        <v>23</v>
      </c>
      <c r="D23" s="2"/>
      <c r="E23" s="2"/>
      <c r="F23" s="2"/>
      <c r="G23" s="2"/>
      <c r="H23" s="3"/>
      <c r="I23" s="22"/>
    </row>
    <row r="24">
      <c r="A24" s="23">
        <f>SUM(A20:A23)</f>
        <v>-233396</v>
      </c>
      <c r="B24" s="9"/>
      <c r="C24" s="10" t="s">
        <v>11</v>
      </c>
      <c r="D24" s="2"/>
      <c r="E24" s="2"/>
      <c r="F24" s="2"/>
      <c r="G24" s="2"/>
      <c r="H24" s="2"/>
      <c r="I24" s="3"/>
    </row>
    <row r="25">
      <c r="A25" s="1" t="s">
        <v>24</v>
      </c>
      <c r="B25" s="2"/>
      <c r="C25" s="2"/>
      <c r="D25" s="2"/>
      <c r="E25" s="2"/>
      <c r="F25" s="2"/>
      <c r="G25" s="2"/>
      <c r="H25" s="2"/>
      <c r="I25" s="3"/>
    </row>
    <row r="26">
      <c r="A26" s="24" t="s">
        <v>25</v>
      </c>
      <c r="B26" s="9"/>
      <c r="C26" s="25" t="s">
        <v>26</v>
      </c>
      <c r="D26" s="2"/>
      <c r="E26" s="25" t="s">
        <v>27</v>
      </c>
      <c r="F26" s="2"/>
      <c r="G26" s="2"/>
      <c r="H26" s="25" t="s">
        <v>28</v>
      </c>
      <c r="I26" s="3"/>
    </row>
    <row r="27">
      <c r="A27" s="26">
        <v>262000.0</v>
      </c>
      <c r="C27" s="27">
        <v>1.9931206681E10</v>
      </c>
      <c r="D27" s="2"/>
      <c r="E27" s="28" t="s">
        <v>29</v>
      </c>
      <c r="F27" s="2"/>
      <c r="G27" s="2"/>
      <c r="H27" s="29" t="s">
        <v>30</v>
      </c>
      <c r="I27" s="3"/>
    </row>
    <row r="28">
      <c r="A28" s="26">
        <v>219000.0</v>
      </c>
      <c r="C28" s="27">
        <v>9.10122344883E11</v>
      </c>
      <c r="D28" s="2"/>
      <c r="E28" s="28" t="s">
        <v>31</v>
      </c>
      <c r="F28" s="2"/>
      <c r="G28" s="2"/>
      <c r="H28" s="29" t="s">
        <v>32</v>
      </c>
      <c r="I28" s="3"/>
    </row>
    <row r="29">
      <c r="A29" s="26">
        <v>217000.0</v>
      </c>
      <c r="C29" s="27">
        <v>8812871.0</v>
      </c>
      <c r="D29" s="2"/>
      <c r="E29" s="28" t="s">
        <v>33</v>
      </c>
      <c r="F29" s="2"/>
      <c r="G29" s="2"/>
      <c r="H29" s="29" t="s">
        <v>34</v>
      </c>
      <c r="I29" s="3"/>
    </row>
    <row r="30">
      <c r="A30" s="26">
        <v>157500.0</v>
      </c>
      <c r="C30" s="30">
        <v>7.9945604345E10</v>
      </c>
      <c r="D30" s="2"/>
      <c r="E30" s="31" t="s">
        <v>35</v>
      </c>
      <c r="F30" s="2"/>
      <c r="G30" s="2"/>
      <c r="H30" s="29" t="s">
        <v>36</v>
      </c>
      <c r="I30" s="3"/>
    </row>
    <row r="31">
      <c r="A31" s="26">
        <v>112000.0</v>
      </c>
      <c r="C31" s="32">
        <v>9.107110465E9</v>
      </c>
      <c r="D31" s="2"/>
      <c r="E31" s="33" t="s">
        <v>37</v>
      </c>
      <c r="F31" s="2"/>
      <c r="G31" s="2"/>
      <c r="H31" s="29" t="s">
        <v>38</v>
      </c>
      <c r="I31" s="3"/>
    </row>
    <row r="32">
      <c r="A32" s="26">
        <v>114000.0</v>
      </c>
      <c r="C32" s="27">
        <v>5827932.0</v>
      </c>
      <c r="D32" s="2"/>
      <c r="E32" s="28" t="s">
        <v>39</v>
      </c>
      <c r="F32" s="2"/>
      <c r="G32" s="2"/>
      <c r="H32" s="29" t="s">
        <v>40</v>
      </c>
      <c r="I32" s="3"/>
    </row>
    <row r="33">
      <c r="A33" s="26">
        <v>105000.0</v>
      </c>
      <c r="C33" s="32">
        <v>9.109086833E9</v>
      </c>
      <c r="D33" s="2"/>
      <c r="E33" s="33" t="s">
        <v>37</v>
      </c>
      <c r="F33" s="2"/>
      <c r="G33" s="2"/>
      <c r="H33" s="29" t="s">
        <v>38</v>
      </c>
      <c r="I33" s="3"/>
    </row>
    <row r="34">
      <c r="A34" s="26">
        <v>94000.0</v>
      </c>
      <c r="C34" s="27">
        <v>1.653089E7</v>
      </c>
      <c r="D34" s="2"/>
      <c r="E34" s="28" t="s">
        <v>41</v>
      </c>
      <c r="F34" s="2"/>
      <c r="G34" s="2"/>
      <c r="H34" s="29" t="s">
        <v>42</v>
      </c>
      <c r="I34" s="3"/>
    </row>
    <row r="35">
      <c r="A35" s="26">
        <v>91500.0</v>
      </c>
      <c r="C35" s="27">
        <v>3.4875214E7</v>
      </c>
      <c r="D35" s="2"/>
      <c r="E35" s="28" t="s">
        <v>43</v>
      </c>
      <c r="F35" s="2"/>
      <c r="G35" s="2"/>
      <c r="H35" s="29" t="s">
        <v>44</v>
      </c>
      <c r="I35" s="3"/>
    </row>
    <row r="36">
      <c r="A36" s="26">
        <v>81500.0</v>
      </c>
      <c r="C36" s="27">
        <v>9.1086763901E10</v>
      </c>
      <c r="D36" s="2"/>
      <c r="E36" s="28" t="s">
        <v>45</v>
      </c>
      <c r="F36" s="2"/>
      <c r="G36" s="2"/>
      <c r="H36" s="29" t="s">
        <v>46</v>
      </c>
      <c r="I36" s="3"/>
    </row>
    <row r="37">
      <c r="A37" s="26">
        <v>67000.0</v>
      </c>
      <c r="C37" s="27">
        <v>3.7938465E7</v>
      </c>
      <c r="D37" s="2"/>
      <c r="E37" s="28" t="s">
        <v>47</v>
      </c>
      <c r="F37" s="2"/>
      <c r="G37" s="2"/>
      <c r="H37" s="29" t="s">
        <v>48</v>
      </c>
      <c r="I37" s="3"/>
    </row>
    <row r="38">
      <c r="A38" s="26">
        <v>66500.0</v>
      </c>
      <c r="C38" s="27">
        <v>4.358013E7</v>
      </c>
      <c r="D38" s="2"/>
      <c r="E38" s="28" t="s">
        <v>49</v>
      </c>
      <c r="F38" s="2"/>
      <c r="G38" s="2"/>
      <c r="H38" s="29" t="s">
        <v>50</v>
      </c>
      <c r="I38" s="3"/>
    </row>
    <row r="39">
      <c r="A39" s="26">
        <v>52500.0</v>
      </c>
      <c r="C39" s="30">
        <v>7.0645208226E10</v>
      </c>
      <c r="D39" s="2"/>
      <c r="E39" s="31" t="s">
        <v>35</v>
      </c>
      <c r="F39" s="2"/>
      <c r="G39" s="2"/>
      <c r="H39" s="29" t="s">
        <v>51</v>
      </c>
      <c r="I39" s="3"/>
    </row>
    <row r="40">
      <c r="A40" s="26">
        <v>52000.0</v>
      </c>
      <c r="C40" s="27">
        <v>9.1030838996E10</v>
      </c>
      <c r="D40" s="2"/>
      <c r="E40" s="28" t="s">
        <v>52</v>
      </c>
      <c r="F40" s="2"/>
      <c r="G40" s="2"/>
      <c r="H40" s="29" t="s">
        <v>53</v>
      </c>
      <c r="I40" s="3"/>
    </row>
    <row r="41">
      <c r="A41" s="26">
        <v>52000.0</v>
      </c>
      <c r="C41" s="34">
        <v>4.99393162186E11</v>
      </c>
      <c r="D41" s="2"/>
      <c r="E41" s="35" t="s">
        <v>54</v>
      </c>
      <c r="F41" s="2"/>
      <c r="G41" s="2"/>
      <c r="H41" s="29" t="s">
        <v>55</v>
      </c>
      <c r="I41" s="3"/>
    </row>
    <row r="42">
      <c r="A42" s="26">
        <v>50000.0</v>
      </c>
      <c r="C42" s="34">
        <v>4.99393162186E11</v>
      </c>
      <c r="D42" s="2"/>
      <c r="E42" s="35" t="s">
        <v>54</v>
      </c>
      <c r="F42" s="2"/>
      <c r="G42" s="2"/>
      <c r="H42" s="29" t="s">
        <v>56</v>
      </c>
      <c r="I42" s="3"/>
    </row>
    <row r="43">
      <c r="A43" s="26">
        <v>55500.0</v>
      </c>
      <c r="C43" s="27">
        <v>5.10100958873E11</v>
      </c>
      <c r="D43" s="2"/>
      <c r="E43" s="28" t="s">
        <v>57</v>
      </c>
      <c r="F43" s="2"/>
      <c r="G43" s="2"/>
      <c r="H43" s="36" t="s">
        <v>58</v>
      </c>
      <c r="I43" s="3"/>
    </row>
    <row r="44">
      <c r="A44" s="26">
        <v>48500.0</v>
      </c>
      <c r="C44" s="27">
        <v>3.814399E7</v>
      </c>
      <c r="D44" s="2"/>
      <c r="E44" s="28" t="s">
        <v>59</v>
      </c>
      <c r="F44" s="2"/>
      <c r="G44" s="2"/>
      <c r="H44" s="29" t="s">
        <v>60</v>
      </c>
      <c r="I44" s="3"/>
    </row>
    <row r="45">
      <c r="A45" s="26">
        <v>46500.0</v>
      </c>
      <c r="C45" s="34">
        <v>4.99393162186E11</v>
      </c>
      <c r="D45" s="2"/>
      <c r="E45" s="35" t="s">
        <v>54</v>
      </c>
      <c r="F45" s="2"/>
      <c r="G45" s="2"/>
      <c r="H45" s="29" t="s">
        <v>61</v>
      </c>
      <c r="I45" s="3"/>
    </row>
    <row r="46">
      <c r="A46" s="26">
        <v>37000.0</v>
      </c>
      <c r="C46" s="27">
        <v>9.1086763901E10</v>
      </c>
      <c r="D46" s="2"/>
      <c r="E46" s="28" t="s">
        <v>45</v>
      </c>
      <c r="F46" s="2"/>
      <c r="G46" s="2"/>
      <c r="H46" s="29" t="s">
        <v>62</v>
      </c>
      <c r="I46" s="3"/>
    </row>
    <row r="47">
      <c r="A47" s="26">
        <v>19000.0</v>
      </c>
      <c r="C47" s="27">
        <v>3.1037882271E10</v>
      </c>
      <c r="D47" s="2"/>
      <c r="E47" s="28" t="s">
        <v>63</v>
      </c>
      <c r="F47" s="2"/>
      <c r="G47" s="2"/>
      <c r="H47" s="29" t="s">
        <v>64</v>
      </c>
      <c r="I47" s="3"/>
    </row>
    <row r="48">
      <c r="A48" s="26">
        <v>50000.0</v>
      </c>
      <c r="C48" s="27"/>
      <c r="D48" s="2"/>
      <c r="E48" s="28"/>
      <c r="F48" s="2"/>
      <c r="G48" s="2"/>
      <c r="H48" s="36"/>
      <c r="I48" s="3"/>
    </row>
    <row r="49">
      <c r="A49" s="37">
        <f>SUM(A27:A48)</f>
        <v>2050000</v>
      </c>
      <c r="B49" s="15"/>
      <c r="C49" s="16" t="s">
        <v>65</v>
      </c>
      <c r="D49" s="2"/>
      <c r="E49" s="2"/>
      <c r="F49" s="2"/>
      <c r="G49" s="2"/>
      <c r="H49" s="2"/>
      <c r="I49" s="3"/>
    </row>
    <row r="50">
      <c r="A50" s="1" t="s">
        <v>66</v>
      </c>
      <c r="B50" s="2"/>
      <c r="C50" s="2"/>
      <c r="D50" s="2"/>
      <c r="E50" s="2"/>
      <c r="F50" s="2"/>
      <c r="G50" s="2"/>
      <c r="H50" s="2"/>
      <c r="I50" s="3"/>
    </row>
    <row r="51">
      <c r="A51" s="38" t="s">
        <v>67</v>
      </c>
      <c r="B51" s="9"/>
      <c r="C51" s="39" t="s">
        <v>68</v>
      </c>
      <c r="D51" s="3"/>
      <c r="E51" s="40" t="s">
        <v>69</v>
      </c>
      <c r="F51" s="3"/>
      <c r="G51" s="39" t="s">
        <v>70</v>
      </c>
      <c r="H51" s="40" t="s">
        <v>71</v>
      </c>
      <c r="I51" s="3"/>
    </row>
    <row r="52">
      <c r="A52" s="18">
        <v>319260.0</v>
      </c>
      <c r="C52" s="41" t="s">
        <v>72</v>
      </c>
      <c r="D52" s="3"/>
      <c r="E52" s="42" t="s">
        <v>73</v>
      </c>
      <c r="F52" s="3"/>
      <c r="G52" s="42" t="s">
        <v>74</v>
      </c>
      <c r="H52" s="43">
        <v>30.0</v>
      </c>
      <c r="I52" s="3"/>
    </row>
    <row r="53">
      <c r="A53" s="44">
        <f>SUM(A52)</f>
        <v>319260</v>
      </c>
      <c r="C53" s="10" t="s">
        <v>75</v>
      </c>
      <c r="D53" s="2"/>
      <c r="E53" s="2"/>
      <c r="F53" s="2"/>
      <c r="G53" s="2"/>
      <c r="H53" s="2"/>
      <c r="I53" s="3"/>
    </row>
    <row r="54">
      <c r="A54" s="18">
        <v>-445000.0</v>
      </c>
      <c r="C54" s="5" t="s">
        <v>76</v>
      </c>
      <c r="D54" s="2"/>
      <c r="E54" s="2"/>
      <c r="F54" s="2"/>
      <c r="G54" s="2"/>
      <c r="H54" s="2"/>
      <c r="I54" s="3"/>
    </row>
    <row r="55">
      <c r="A55" s="44">
        <f>SUM(A53:A54)</f>
        <v>-125740</v>
      </c>
      <c r="B55" s="9"/>
      <c r="C55" s="10" t="s">
        <v>11</v>
      </c>
      <c r="D55" s="2"/>
      <c r="E55" s="2"/>
      <c r="F55" s="2"/>
      <c r="G55" s="2"/>
      <c r="H55" s="2"/>
      <c r="I55" s="3"/>
    </row>
    <row r="56">
      <c r="A56" s="1" t="s">
        <v>77</v>
      </c>
      <c r="B56" s="2"/>
      <c r="C56" s="2"/>
      <c r="D56" s="2"/>
      <c r="E56" s="2"/>
      <c r="F56" s="2"/>
      <c r="G56" s="2"/>
      <c r="H56" s="2"/>
      <c r="I56" s="3"/>
    </row>
    <row r="57">
      <c r="A57" s="38" t="s">
        <v>67</v>
      </c>
      <c r="B57" s="9"/>
      <c r="C57" s="40" t="s">
        <v>78</v>
      </c>
      <c r="D57" s="3"/>
      <c r="E57" s="40" t="s">
        <v>69</v>
      </c>
      <c r="F57" s="3"/>
      <c r="G57" s="39" t="s">
        <v>70</v>
      </c>
      <c r="H57" s="40" t="s">
        <v>71</v>
      </c>
      <c r="I57" s="3"/>
    </row>
    <row r="58">
      <c r="A58" s="18">
        <v>17500.0</v>
      </c>
      <c r="C58" s="41" t="s">
        <v>79</v>
      </c>
      <c r="D58" s="3"/>
      <c r="E58" s="45" t="s">
        <v>80</v>
      </c>
      <c r="F58" s="3"/>
      <c r="G58" s="42" t="s">
        <v>74</v>
      </c>
      <c r="H58" s="43">
        <v>7.0</v>
      </c>
      <c r="I58" s="3"/>
    </row>
    <row r="59">
      <c r="A59" s="18">
        <v>30000.0</v>
      </c>
      <c r="C59" s="41" t="s">
        <v>81</v>
      </c>
      <c r="D59" s="3"/>
      <c r="E59" s="45" t="s">
        <v>82</v>
      </c>
      <c r="F59" s="3"/>
      <c r="G59" s="42" t="s">
        <v>83</v>
      </c>
      <c r="H59" s="43">
        <v>3.0</v>
      </c>
      <c r="I59" s="3"/>
    </row>
    <row r="60">
      <c r="A60" s="18">
        <v>5000.0</v>
      </c>
      <c r="C60" s="41" t="s">
        <v>84</v>
      </c>
      <c r="D60" s="3"/>
      <c r="E60" s="45" t="s">
        <v>80</v>
      </c>
      <c r="F60" s="3"/>
      <c r="G60" s="46" t="s">
        <v>85</v>
      </c>
      <c r="H60" s="43">
        <v>2.0</v>
      </c>
      <c r="I60" s="3"/>
    </row>
    <row r="62" ht="15.75" customHeight="1">
      <c r="A62" s="1" t="s">
        <v>86</v>
      </c>
      <c r="B62" s="2"/>
      <c r="C62" s="2"/>
      <c r="D62" s="2"/>
      <c r="E62" s="2"/>
      <c r="F62" s="2"/>
      <c r="G62" s="2"/>
      <c r="H62" s="2"/>
      <c r="I62" s="3"/>
    </row>
    <row r="63" ht="15.75" customHeight="1">
      <c r="A63" s="18">
        <v>50000.0</v>
      </c>
      <c r="B63" s="22"/>
      <c r="C63" s="47" t="s">
        <v>87</v>
      </c>
      <c r="D63" s="2"/>
      <c r="E63" s="3"/>
      <c r="F63" s="47"/>
      <c r="G63" s="2"/>
      <c r="H63" s="2"/>
      <c r="I63" s="3"/>
    </row>
    <row r="64" ht="15.75" customHeight="1">
      <c r="A64" s="18">
        <v>50000.0</v>
      </c>
      <c r="B64" s="22"/>
      <c r="C64" s="48" t="s">
        <v>88</v>
      </c>
      <c r="D64" s="2"/>
      <c r="E64" s="3"/>
      <c r="F64" s="47"/>
      <c r="G64" s="2"/>
      <c r="H64" s="2"/>
      <c r="I64" s="3"/>
    </row>
    <row r="65" ht="15.75" customHeight="1">
      <c r="A65" s="18">
        <v>70000.0</v>
      </c>
      <c r="B65" s="22"/>
      <c r="C65" s="47" t="s">
        <v>89</v>
      </c>
      <c r="D65" s="2"/>
      <c r="E65" s="3"/>
      <c r="F65" s="47"/>
      <c r="G65" s="2"/>
      <c r="H65" s="2"/>
      <c r="I65" s="3"/>
    </row>
    <row r="66" ht="15.75" customHeight="1">
      <c r="A66" s="18">
        <v>12000.0</v>
      </c>
      <c r="B66" s="22"/>
      <c r="C66" s="47" t="s">
        <v>12</v>
      </c>
      <c r="D66" s="2"/>
      <c r="E66" s="3"/>
      <c r="F66" s="47" t="s">
        <v>90</v>
      </c>
      <c r="G66" s="2"/>
      <c r="H66" s="2"/>
      <c r="I66" s="3"/>
    </row>
    <row r="67" ht="15.75" customHeight="1">
      <c r="A67" s="18">
        <v>10000.0</v>
      </c>
      <c r="B67" s="22"/>
      <c r="C67" s="48" t="s">
        <v>91</v>
      </c>
      <c r="D67" s="2"/>
      <c r="E67" s="3"/>
      <c r="F67" s="49"/>
      <c r="G67" s="2"/>
      <c r="H67" s="2"/>
      <c r="I67" s="3"/>
    </row>
    <row r="68" ht="15.75" customHeight="1">
      <c r="A68" s="18">
        <v>7500.0</v>
      </c>
      <c r="B68" s="22"/>
      <c r="C68" s="47" t="s">
        <v>92</v>
      </c>
      <c r="D68" s="2"/>
      <c r="E68" s="3"/>
      <c r="F68" s="47"/>
      <c r="G68" s="2"/>
      <c r="H68" s="2"/>
      <c r="I68" s="3"/>
    </row>
    <row r="69" ht="15.75" customHeight="1">
      <c r="A69" s="18">
        <v>7000.0</v>
      </c>
      <c r="B69" s="22"/>
      <c r="C69" s="48" t="s">
        <v>93</v>
      </c>
      <c r="D69" s="2"/>
      <c r="E69" s="3"/>
      <c r="F69" s="47"/>
      <c r="G69" s="2"/>
      <c r="H69" s="2"/>
      <c r="I69" s="3"/>
    </row>
    <row r="70" ht="15.75" customHeight="1">
      <c r="A70" s="18">
        <v>5000.0</v>
      </c>
      <c r="B70" s="22"/>
      <c r="C70" s="48" t="s">
        <v>94</v>
      </c>
      <c r="D70" s="2"/>
      <c r="E70" s="3"/>
      <c r="F70" s="49"/>
      <c r="G70" s="2"/>
      <c r="H70" s="2"/>
      <c r="I70" s="3"/>
    </row>
    <row r="71" ht="15.75" customHeight="1">
      <c r="A71" s="18">
        <v>3000.0</v>
      </c>
      <c r="B71" s="22"/>
      <c r="C71" s="47" t="s">
        <v>95</v>
      </c>
      <c r="D71" s="2"/>
      <c r="E71" s="3"/>
      <c r="F71" s="48"/>
      <c r="G71" s="2"/>
      <c r="H71" s="2"/>
      <c r="I71" s="3"/>
    </row>
    <row r="72" ht="15.75" customHeight="1">
      <c r="A72" s="18">
        <v>2000.0</v>
      </c>
      <c r="B72" s="22"/>
      <c r="C72" s="47" t="s">
        <v>96</v>
      </c>
      <c r="D72" s="2"/>
      <c r="E72" s="3"/>
      <c r="F72" s="49"/>
      <c r="G72" s="2"/>
      <c r="H72" s="2"/>
      <c r="I72" s="3"/>
    </row>
    <row r="73" ht="15.75" customHeight="1">
      <c r="A73" s="18">
        <v>1500.0</v>
      </c>
      <c r="B73" s="22"/>
      <c r="C73" s="48" t="s">
        <v>97</v>
      </c>
      <c r="D73" s="2"/>
      <c r="E73" s="3"/>
      <c r="F73" s="47"/>
      <c r="G73" s="2"/>
      <c r="H73" s="2"/>
      <c r="I73" s="3"/>
    </row>
    <row r="74" ht="15.75" customHeight="1">
      <c r="A74" s="18">
        <v>1500.0</v>
      </c>
      <c r="B74" s="22"/>
      <c r="C74" s="48" t="s">
        <v>98</v>
      </c>
      <c r="D74" s="2"/>
      <c r="E74" s="3"/>
      <c r="F74" s="49"/>
      <c r="G74" s="2"/>
      <c r="H74" s="2"/>
      <c r="I74" s="3"/>
    </row>
    <row r="75" ht="15.75" customHeight="1">
      <c r="A75" s="18">
        <v>1500.0</v>
      </c>
      <c r="B75" s="22"/>
      <c r="C75" s="47" t="s">
        <v>99</v>
      </c>
      <c r="D75" s="2"/>
      <c r="E75" s="3"/>
      <c r="F75" s="49"/>
      <c r="G75" s="2"/>
      <c r="H75" s="2"/>
      <c r="I75" s="3"/>
    </row>
    <row r="76" ht="15.75" customHeight="1">
      <c r="A76" s="18">
        <v>1500.0</v>
      </c>
      <c r="B76" s="22"/>
      <c r="C76" s="48" t="s">
        <v>100</v>
      </c>
      <c r="D76" s="2"/>
      <c r="E76" s="3"/>
      <c r="F76" s="49"/>
      <c r="G76" s="2"/>
      <c r="H76" s="2"/>
      <c r="I76" s="3"/>
    </row>
    <row r="77" ht="15.75" customHeight="1">
      <c r="A77" s="18">
        <v>0.0</v>
      </c>
      <c r="B77" s="22"/>
      <c r="C77" s="47" t="s">
        <v>101</v>
      </c>
      <c r="D77" s="2"/>
      <c r="E77" s="3"/>
      <c r="F77" s="47"/>
      <c r="G77" s="2"/>
      <c r="H77" s="2"/>
      <c r="I77" s="3"/>
    </row>
    <row r="78" ht="15.75" customHeight="1">
      <c r="A78" s="18">
        <v>0.0</v>
      </c>
      <c r="B78" s="22"/>
      <c r="C78" s="47" t="s">
        <v>102</v>
      </c>
      <c r="D78" s="2"/>
      <c r="E78" s="3"/>
      <c r="F78" s="47"/>
      <c r="G78" s="2"/>
      <c r="H78" s="2"/>
      <c r="I78" s="3"/>
    </row>
    <row r="79" ht="15.75" customHeight="1">
      <c r="A79" s="18">
        <v>0.0</v>
      </c>
      <c r="B79" s="22"/>
      <c r="C79" s="47" t="s">
        <v>103</v>
      </c>
      <c r="D79" s="2"/>
      <c r="E79" s="3"/>
      <c r="F79" s="48"/>
      <c r="G79" s="2"/>
      <c r="H79" s="2"/>
      <c r="I79" s="3"/>
    </row>
    <row r="80" ht="15.75" customHeight="1">
      <c r="A80" s="18">
        <v>0.0</v>
      </c>
      <c r="B80" s="22"/>
      <c r="C80" s="47" t="s">
        <v>104</v>
      </c>
      <c r="D80" s="2"/>
      <c r="E80" s="3"/>
      <c r="F80" s="47"/>
      <c r="G80" s="2"/>
      <c r="H80" s="2"/>
      <c r="I80" s="3"/>
    </row>
    <row r="81" ht="15.75" customHeight="1">
      <c r="A81" s="18">
        <v>0.0</v>
      </c>
      <c r="B81" s="22"/>
      <c r="C81" s="47" t="s">
        <v>105</v>
      </c>
      <c r="D81" s="2"/>
      <c r="E81" s="3"/>
      <c r="F81" s="47"/>
      <c r="G81" s="2"/>
      <c r="H81" s="2"/>
      <c r="I81" s="3"/>
    </row>
    <row r="82" ht="15.75" customHeight="1">
      <c r="A82" s="18">
        <v>0.0</v>
      </c>
      <c r="B82" s="22"/>
      <c r="C82" s="47" t="s">
        <v>106</v>
      </c>
      <c r="D82" s="2"/>
      <c r="E82" s="3"/>
      <c r="F82" s="47"/>
      <c r="G82" s="2"/>
      <c r="H82" s="2"/>
      <c r="I82" s="3"/>
    </row>
    <row r="83" ht="15.75" customHeight="1">
      <c r="A83" s="18">
        <v>0.0</v>
      </c>
      <c r="B83" s="22"/>
      <c r="C83" s="47" t="s">
        <v>107</v>
      </c>
      <c r="D83" s="2"/>
      <c r="E83" s="3"/>
      <c r="F83" s="47"/>
      <c r="G83" s="2"/>
      <c r="H83" s="2"/>
      <c r="I83" s="3"/>
    </row>
    <row r="84" ht="15.75" customHeight="1">
      <c r="A84" s="18">
        <v>0.0</v>
      </c>
      <c r="B84" s="22"/>
      <c r="C84" s="47" t="s">
        <v>108</v>
      </c>
      <c r="D84" s="2"/>
      <c r="E84" s="3"/>
      <c r="F84" s="47"/>
      <c r="G84" s="2"/>
      <c r="H84" s="2"/>
      <c r="I84" s="3"/>
    </row>
    <row r="85" ht="15.75" customHeight="1">
      <c r="A85" s="50">
        <f>SUM(A63:A84)</f>
        <v>222500</v>
      </c>
      <c r="B85" s="51"/>
      <c r="C85" s="52" t="s">
        <v>11</v>
      </c>
      <c r="D85" s="2"/>
      <c r="E85" s="2"/>
      <c r="F85" s="2"/>
      <c r="G85" s="2"/>
      <c r="H85" s="2"/>
      <c r="I85" s="3"/>
    </row>
    <row r="86" ht="15.75" customHeight="1">
      <c r="A86" s="18">
        <v>-210000.0</v>
      </c>
      <c r="B86" s="22"/>
      <c r="C86" s="47" t="s">
        <v>109</v>
      </c>
      <c r="D86" s="2"/>
      <c r="E86" s="3"/>
      <c r="F86" s="49"/>
      <c r="G86" s="2"/>
      <c r="H86" s="2"/>
      <c r="I86" s="3"/>
    </row>
    <row r="87" ht="15.75" customHeight="1">
      <c r="A87" s="18">
        <v>-9200.0</v>
      </c>
      <c r="B87" s="22"/>
      <c r="C87" s="47" t="s">
        <v>110</v>
      </c>
      <c r="D87" s="2"/>
      <c r="E87" s="3"/>
      <c r="F87" s="49"/>
      <c r="G87" s="2"/>
      <c r="H87" s="2"/>
      <c r="I87" s="3"/>
    </row>
    <row r="88" ht="15.75" customHeight="1">
      <c r="A88" s="18">
        <v>0.0</v>
      </c>
      <c r="B88" s="22"/>
      <c r="C88" s="47" t="s">
        <v>111</v>
      </c>
      <c r="D88" s="2"/>
      <c r="E88" s="3"/>
      <c r="F88" s="48"/>
      <c r="G88" s="2"/>
      <c r="H88" s="2"/>
      <c r="I88" s="3"/>
    </row>
    <row r="89" ht="15.75" customHeight="1">
      <c r="A89" s="44">
        <f>SUM(A85:A88)</f>
        <v>3300</v>
      </c>
      <c r="B89" s="51"/>
      <c r="C89" s="52" t="s">
        <v>112</v>
      </c>
      <c r="D89" s="2"/>
      <c r="E89" s="2"/>
      <c r="F89" s="2"/>
      <c r="G89" s="2"/>
      <c r="H89" s="2"/>
      <c r="I89" s="3"/>
    </row>
    <row r="90" ht="15.75" customHeight="1">
      <c r="A90" s="53"/>
    </row>
    <row r="91" ht="15.75" customHeight="1">
      <c r="A91" s="18">
        <v>2450000.0</v>
      </c>
      <c r="B91" s="22"/>
      <c r="C91" s="54">
        <v>46023.0</v>
      </c>
      <c r="D91" s="2"/>
      <c r="E91" s="3"/>
      <c r="F91" s="48"/>
      <c r="G91" s="2"/>
      <c r="H91" s="2"/>
      <c r="I91" s="3"/>
    </row>
    <row r="92" ht="15.75" customHeight="1">
      <c r="A92" s="18" t="s">
        <v>113</v>
      </c>
      <c r="B92" s="22"/>
      <c r="C92" s="54">
        <v>45658.0</v>
      </c>
      <c r="D92" s="2"/>
      <c r="E92" s="3"/>
      <c r="F92" s="48"/>
      <c r="G92" s="2"/>
      <c r="H92" s="2"/>
      <c r="I92" s="3"/>
    </row>
    <row r="93" ht="15.75" customHeight="1">
      <c r="A93" s="18">
        <v>940000.0</v>
      </c>
      <c r="B93" s="22"/>
      <c r="C93" s="54">
        <v>45292.0</v>
      </c>
      <c r="D93" s="2"/>
      <c r="E93" s="3"/>
      <c r="F93" s="48"/>
      <c r="G93" s="2"/>
      <c r="H93" s="2"/>
      <c r="I93" s="3"/>
    </row>
    <row r="94" ht="15.75" customHeight="1">
      <c r="A94" s="53"/>
    </row>
    <row r="95" ht="15.75" customHeight="1">
      <c r="A95" s="1" t="s">
        <v>114</v>
      </c>
      <c r="B95" s="2"/>
      <c r="C95" s="2"/>
      <c r="D95" s="2"/>
      <c r="E95" s="2"/>
      <c r="F95" s="2"/>
      <c r="G95" s="2"/>
      <c r="H95" s="2"/>
      <c r="I95" s="3"/>
    </row>
    <row r="96" ht="15.75" customHeight="1">
      <c r="A96" s="55" t="s">
        <v>28</v>
      </c>
      <c r="B96" s="56"/>
      <c r="C96" s="57"/>
      <c r="D96" s="58" t="s">
        <v>115</v>
      </c>
      <c r="E96" s="59" t="s">
        <v>116</v>
      </c>
      <c r="F96" s="60" t="s">
        <v>117</v>
      </c>
      <c r="G96" s="2"/>
      <c r="H96" s="3"/>
      <c r="I96" s="61"/>
    </row>
    <row r="97" ht="15.75" customHeight="1">
      <c r="A97" s="62"/>
      <c r="B97" s="63"/>
      <c r="C97" s="64"/>
      <c r="D97" s="65"/>
      <c r="E97" s="65"/>
      <c r="F97" s="66" t="s">
        <v>118</v>
      </c>
      <c r="G97" s="66" t="s">
        <v>119</v>
      </c>
      <c r="H97" s="66" t="s">
        <v>120</v>
      </c>
      <c r="I97" s="66"/>
    </row>
    <row r="98" ht="15.75" customHeight="1">
      <c r="A98" s="67" t="s">
        <v>121</v>
      </c>
      <c r="B98" s="2"/>
      <c r="C98" s="3"/>
      <c r="D98" s="68">
        <v>0.15</v>
      </c>
      <c r="E98" s="69">
        <v>7500.0</v>
      </c>
      <c r="F98" s="69">
        <v>2500.0</v>
      </c>
      <c r="G98" s="69">
        <v>2500.0</v>
      </c>
      <c r="H98" s="69">
        <v>2500.0</v>
      </c>
      <c r="I98" s="69"/>
    </row>
    <row r="99" ht="15.75" customHeight="1">
      <c r="A99" s="67" t="s">
        <v>122</v>
      </c>
      <c r="B99" s="2"/>
      <c r="C99" s="3"/>
      <c r="D99" s="68">
        <v>0.14</v>
      </c>
      <c r="E99" s="69">
        <v>7000.0</v>
      </c>
      <c r="F99" s="69">
        <v>2500.0</v>
      </c>
      <c r="G99" s="69">
        <v>2500.0</v>
      </c>
      <c r="H99" s="69">
        <v>2000.0</v>
      </c>
      <c r="I99" s="69"/>
    </row>
    <row r="100" ht="15.75" customHeight="1">
      <c r="A100" s="67" t="s">
        <v>123</v>
      </c>
      <c r="B100" s="2"/>
      <c r="C100" s="3"/>
      <c r="D100" s="68">
        <v>0.15</v>
      </c>
      <c r="E100" s="69">
        <v>7500.0</v>
      </c>
      <c r="F100" s="69">
        <v>2500.0</v>
      </c>
      <c r="G100" s="69">
        <v>2500.0</v>
      </c>
      <c r="H100" s="69">
        <v>2500.0</v>
      </c>
      <c r="I100" s="69"/>
    </row>
    <row r="101" ht="15.75" customHeight="1">
      <c r="A101" s="67" t="s">
        <v>124</v>
      </c>
      <c r="B101" s="2"/>
      <c r="C101" s="3"/>
      <c r="D101" s="68">
        <v>0.12</v>
      </c>
      <c r="E101" s="69">
        <v>6000.0</v>
      </c>
      <c r="F101" s="69">
        <v>2500.0</v>
      </c>
      <c r="G101" s="69">
        <v>2000.0</v>
      </c>
      <c r="H101" s="69">
        <v>1500.0</v>
      </c>
      <c r="I101" s="69"/>
    </row>
    <row r="102" ht="15.75" customHeight="1">
      <c r="A102" s="67" t="s">
        <v>125</v>
      </c>
      <c r="B102" s="2"/>
      <c r="C102" s="3"/>
      <c r="D102" s="68">
        <v>0.12</v>
      </c>
      <c r="E102" s="69">
        <v>6000.0</v>
      </c>
      <c r="F102" s="69">
        <v>2500.0</v>
      </c>
      <c r="G102" s="69">
        <v>1500.0</v>
      </c>
      <c r="H102" s="69">
        <v>2000.0</v>
      </c>
      <c r="I102" s="69"/>
    </row>
    <row r="103" ht="15.75" customHeight="1">
      <c r="A103" s="67" t="s">
        <v>126</v>
      </c>
      <c r="B103" s="2"/>
      <c r="C103" s="3"/>
      <c r="D103" s="68">
        <v>0.12</v>
      </c>
      <c r="E103" s="69">
        <v>6000.0</v>
      </c>
      <c r="F103" s="69">
        <v>2500.0</v>
      </c>
      <c r="G103" s="69">
        <v>1500.0</v>
      </c>
      <c r="H103" s="69">
        <v>2000.0</v>
      </c>
      <c r="I103" s="69"/>
    </row>
    <row r="104" ht="15.75" customHeight="1">
      <c r="A104" s="67" t="s">
        <v>127</v>
      </c>
      <c r="B104" s="2"/>
      <c r="C104" s="3"/>
      <c r="D104" s="68">
        <v>0.1</v>
      </c>
      <c r="E104" s="69">
        <v>5000.0</v>
      </c>
      <c r="F104" s="69">
        <v>2500.0</v>
      </c>
      <c r="G104" s="69">
        <v>1500.0</v>
      </c>
      <c r="H104" s="69">
        <v>1000.0</v>
      </c>
      <c r="I104" s="69"/>
    </row>
    <row r="105" ht="15.75" customHeight="1">
      <c r="A105" s="70" t="s">
        <v>128</v>
      </c>
      <c r="B105" s="2"/>
      <c r="C105" s="3"/>
      <c r="D105" s="71">
        <v>0.1</v>
      </c>
      <c r="E105" s="72">
        <v>5000.0</v>
      </c>
      <c r="F105" s="72">
        <v>2500.0</v>
      </c>
      <c r="G105" s="72">
        <v>1000.0</v>
      </c>
      <c r="H105" s="72">
        <v>1500.0</v>
      </c>
      <c r="I105" s="72" t="s">
        <v>129</v>
      </c>
    </row>
    <row r="106" ht="15.75" customHeight="1">
      <c r="A106" s="73" t="s">
        <v>11</v>
      </c>
      <c r="B106" s="2"/>
      <c r="C106" s="3"/>
      <c r="D106" s="74">
        <v>1.0</v>
      </c>
      <c r="E106" s="75">
        <v>50000.0</v>
      </c>
      <c r="F106" s="75">
        <v>20000.0</v>
      </c>
      <c r="G106" s="75">
        <v>15000.0</v>
      </c>
      <c r="H106" s="75">
        <v>15000.0</v>
      </c>
      <c r="I106" s="75"/>
    </row>
    <row r="107" ht="15.75" customHeight="1">
      <c r="A107" s="76"/>
      <c r="B107" s="77"/>
      <c r="C107" s="78"/>
      <c r="D107" s="78"/>
      <c r="E107" s="78"/>
      <c r="F107" s="78"/>
      <c r="G107" s="79"/>
      <c r="H107" s="80"/>
      <c r="I107" s="80"/>
    </row>
    <row r="108" ht="15.75" customHeight="1">
      <c r="A108" s="76"/>
      <c r="B108" s="77"/>
      <c r="C108" s="78"/>
      <c r="D108" s="78"/>
      <c r="E108" s="78"/>
      <c r="F108" s="78"/>
      <c r="G108" s="79"/>
      <c r="H108" s="80"/>
      <c r="I108" s="80"/>
    </row>
    <row r="109">
      <c r="A109" s="1" t="s">
        <v>130</v>
      </c>
      <c r="B109" s="2"/>
      <c r="C109" s="2"/>
      <c r="D109" s="2"/>
      <c r="E109" s="2"/>
      <c r="F109" s="2"/>
      <c r="G109" s="2"/>
      <c r="H109" s="2"/>
      <c r="I109" s="3"/>
    </row>
    <row r="110" ht="15.75" customHeight="1">
      <c r="A110" s="18">
        <v>518731.0</v>
      </c>
      <c r="B110" s="22"/>
      <c r="C110" s="81" t="s">
        <v>131</v>
      </c>
      <c r="D110" s="63"/>
      <c r="E110" s="63"/>
      <c r="F110" s="63"/>
      <c r="G110" s="63"/>
      <c r="H110" s="63"/>
      <c r="I110" s="64"/>
    </row>
    <row r="111" ht="15.75" customHeight="1">
      <c r="A111" s="18">
        <v>100000.0</v>
      </c>
      <c r="B111" s="22"/>
      <c r="C111" s="82" t="s">
        <v>132</v>
      </c>
      <c r="D111" s="2"/>
      <c r="E111" s="2"/>
      <c r="F111" s="2"/>
      <c r="G111" s="2"/>
      <c r="H111" s="2"/>
      <c r="I111" s="3"/>
    </row>
    <row r="112" ht="15.75" customHeight="1">
      <c r="A112" s="18">
        <v>700000.0</v>
      </c>
      <c r="B112" s="22"/>
      <c r="C112" s="41" t="s">
        <v>133</v>
      </c>
      <c r="D112" s="2"/>
      <c r="E112" s="2"/>
      <c r="F112" s="2"/>
      <c r="G112" s="2"/>
      <c r="H112" s="2"/>
      <c r="I112" s="3"/>
    </row>
    <row r="113" ht="15.75" customHeight="1">
      <c r="A113" s="18">
        <f>SUM(A110:A112)</f>
        <v>1318731</v>
      </c>
      <c r="B113" s="9"/>
      <c r="C113" s="83" t="s">
        <v>134</v>
      </c>
      <c r="D113" s="2"/>
      <c r="E113" s="2"/>
      <c r="F113" s="2"/>
      <c r="G113" s="2"/>
      <c r="H113" s="2"/>
      <c r="I113" s="3"/>
    </row>
    <row r="114" ht="15.75" customHeight="1">
      <c r="A114" s="76"/>
      <c r="B114" s="77"/>
      <c r="C114" s="78"/>
      <c r="D114" s="78"/>
      <c r="E114" s="78"/>
      <c r="F114" s="78"/>
      <c r="G114" s="79"/>
      <c r="H114" s="80"/>
      <c r="I114" s="80"/>
    </row>
    <row r="115" ht="15.75" customHeight="1">
      <c r="A115" s="18"/>
      <c r="B115" s="22"/>
      <c r="C115" s="41" t="s">
        <v>135</v>
      </c>
      <c r="D115" s="2"/>
      <c r="E115" s="2"/>
      <c r="F115" s="2"/>
      <c r="G115" s="2"/>
      <c r="H115" s="2"/>
      <c r="I115" s="3"/>
    </row>
    <row r="116" ht="15.75" customHeight="1">
      <c r="A116" s="76"/>
      <c r="B116" s="77"/>
      <c r="C116" s="78"/>
      <c r="D116" s="78"/>
      <c r="E116" s="78"/>
      <c r="F116" s="78"/>
      <c r="G116" s="79"/>
      <c r="H116" s="80"/>
      <c r="I116" s="80"/>
    </row>
    <row r="117" ht="15.75" customHeight="1">
      <c r="A117" s="76"/>
      <c r="B117" s="77"/>
      <c r="C117" s="78"/>
      <c r="D117" s="78"/>
      <c r="E117" s="78"/>
      <c r="F117" s="78"/>
      <c r="G117" s="79"/>
      <c r="H117" s="80"/>
      <c r="I117" s="80"/>
    </row>
    <row r="118" ht="15.75" customHeight="1">
      <c r="A118" s="76"/>
      <c r="B118" s="77"/>
      <c r="C118" s="78"/>
      <c r="D118" s="78"/>
      <c r="E118" s="78"/>
      <c r="F118" s="78"/>
      <c r="G118" s="79"/>
      <c r="H118" s="80"/>
      <c r="I118" s="80"/>
    </row>
  </sheetData>
  <mergeCells count="200">
    <mergeCell ref="C48:D48"/>
    <mergeCell ref="E48:G48"/>
    <mergeCell ref="H48:I48"/>
    <mergeCell ref="C49:I49"/>
    <mergeCell ref="A50:I50"/>
    <mergeCell ref="E51:F51"/>
    <mergeCell ref="H51:I51"/>
    <mergeCell ref="C51:D51"/>
    <mergeCell ref="C52:D52"/>
    <mergeCell ref="E52:F52"/>
    <mergeCell ref="H52:I52"/>
    <mergeCell ref="C53:I53"/>
    <mergeCell ref="C54:I54"/>
    <mergeCell ref="C55:I55"/>
    <mergeCell ref="A1:I1"/>
    <mergeCell ref="C2:I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H15"/>
    <mergeCell ref="C16:I16"/>
    <mergeCell ref="C17:I17"/>
    <mergeCell ref="C18:I18"/>
    <mergeCell ref="A19:I19"/>
    <mergeCell ref="C20:H20"/>
    <mergeCell ref="C21:H21"/>
    <mergeCell ref="C22:H22"/>
    <mergeCell ref="C23:H23"/>
    <mergeCell ref="C24:I24"/>
    <mergeCell ref="A25:I25"/>
    <mergeCell ref="C26:D26"/>
    <mergeCell ref="E26:G26"/>
    <mergeCell ref="H26:I26"/>
    <mergeCell ref="E29:G29"/>
    <mergeCell ref="H29:I29"/>
    <mergeCell ref="C27:D27"/>
    <mergeCell ref="E27:G27"/>
    <mergeCell ref="H27:I27"/>
    <mergeCell ref="C28:D28"/>
    <mergeCell ref="E28:G28"/>
    <mergeCell ref="H28:I28"/>
    <mergeCell ref="C29:D29"/>
    <mergeCell ref="A56:I56"/>
    <mergeCell ref="C57:D57"/>
    <mergeCell ref="E57:F57"/>
    <mergeCell ref="H57:I57"/>
    <mergeCell ref="C58:D58"/>
    <mergeCell ref="E58:F58"/>
    <mergeCell ref="H58:I58"/>
    <mergeCell ref="C59:D59"/>
    <mergeCell ref="E59:F59"/>
    <mergeCell ref="H59:I59"/>
    <mergeCell ref="C60:D60"/>
    <mergeCell ref="E60:F60"/>
    <mergeCell ref="H60:I60"/>
    <mergeCell ref="A61:I61"/>
    <mergeCell ref="A62:I62"/>
    <mergeCell ref="C63:E63"/>
    <mergeCell ref="F63:I63"/>
    <mergeCell ref="C64:E64"/>
    <mergeCell ref="F64:I64"/>
    <mergeCell ref="C65:E65"/>
    <mergeCell ref="F65:I65"/>
    <mergeCell ref="C66:E66"/>
    <mergeCell ref="F66:I66"/>
    <mergeCell ref="C67:E67"/>
    <mergeCell ref="F67:I67"/>
    <mergeCell ref="C68:E68"/>
    <mergeCell ref="F68:I68"/>
    <mergeCell ref="F69:I69"/>
    <mergeCell ref="C69:E69"/>
    <mergeCell ref="C70:E70"/>
    <mergeCell ref="C71:E71"/>
    <mergeCell ref="C72:E72"/>
    <mergeCell ref="C73:E73"/>
    <mergeCell ref="C74:E74"/>
    <mergeCell ref="C75:E75"/>
    <mergeCell ref="F77:I77"/>
    <mergeCell ref="F78:I78"/>
    <mergeCell ref="F79:I79"/>
    <mergeCell ref="F80:I80"/>
    <mergeCell ref="F81:I81"/>
    <mergeCell ref="F82:I82"/>
    <mergeCell ref="F83:I83"/>
    <mergeCell ref="F84:I84"/>
    <mergeCell ref="F70:I70"/>
    <mergeCell ref="F71:I71"/>
    <mergeCell ref="F72:I72"/>
    <mergeCell ref="F73:I73"/>
    <mergeCell ref="F74:I74"/>
    <mergeCell ref="F75:I75"/>
    <mergeCell ref="F76:I76"/>
    <mergeCell ref="C76:E76"/>
    <mergeCell ref="C77:E77"/>
    <mergeCell ref="C78:E78"/>
    <mergeCell ref="C79:E79"/>
    <mergeCell ref="C80:E80"/>
    <mergeCell ref="C81:E81"/>
    <mergeCell ref="C82:E82"/>
    <mergeCell ref="A104:C104"/>
    <mergeCell ref="A100:C100"/>
    <mergeCell ref="A101:C101"/>
    <mergeCell ref="A102:C102"/>
    <mergeCell ref="A103:C103"/>
    <mergeCell ref="C83:E83"/>
    <mergeCell ref="C84:E84"/>
    <mergeCell ref="C85:I85"/>
    <mergeCell ref="C86:E86"/>
    <mergeCell ref="F86:I86"/>
    <mergeCell ref="C87:E87"/>
    <mergeCell ref="F87:I87"/>
    <mergeCell ref="C88:E88"/>
    <mergeCell ref="F88:I88"/>
    <mergeCell ref="C89:I89"/>
    <mergeCell ref="A90:I90"/>
    <mergeCell ref="C91:E91"/>
    <mergeCell ref="F91:I91"/>
    <mergeCell ref="F92:I92"/>
    <mergeCell ref="E96:E97"/>
    <mergeCell ref="F96:H96"/>
    <mergeCell ref="C92:E92"/>
    <mergeCell ref="C93:E93"/>
    <mergeCell ref="F93:I93"/>
    <mergeCell ref="A94:I94"/>
    <mergeCell ref="A95:I95"/>
    <mergeCell ref="A96:C97"/>
    <mergeCell ref="D96:D97"/>
    <mergeCell ref="A98:C98"/>
    <mergeCell ref="A106:C106"/>
    <mergeCell ref="A109:I109"/>
    <mergeCell ref="C110:I110"/>
    <mergeCell ref="C111:I111"/>
    <mergeCell ref="C112:I112"/>
    <mergeCell ref="C113:I113"/>
    <mergeCell ref="C115:I115"/>
    <mergeCell ref="A105:C105"/>
    <mergeCell ref="A99:C99"/>
    <mergeCell ref="E32:G32"/>
    <mergeCell ref="H32:I32"/>
    <mergeCell ref="C30:D30"/>
    <mergeCell ref="E30:G30"/>
    <mergeCell ref="H30:I30"/>
    <mergeCell ref="C31:D31"/>
    <mergeCell ref="E31:G31"/>
    <mergeCell ref="H31:I31"/>
    <mergeCell ref="C32:D32"/>
    <mergeCell ref="E35:G35"/>
    <mergeCell ref="H35:I35"/>
    <mergeCell ref="C33:D33"/>
    <mergeCell ref="E33:G33"/>
    <mergeCell ref="H33:I33"/>
    <mergeCell ref="C34:D34"/>
    <mergeCell ref="E34:G34"/>
    <mergeCell ref="H34:I34"/>
    <mergeCell ref="C35:D35"/>
    <mergeCell ref="E38:G38"/>
    <mergeCell ref="H38:I38"/>
    <mergeCell ref="C36:D36"/>
    <mergeCell ref="E36:G36"/>
    <mergeCell ref="H36:I36"/>
    <mergeCell ref="C37:D37"/>
    <mergeCell ref="E37:G37"/>
    <mergeCell ref="H37:I37"/>
    <mergeCell ref="C38:D38"/>
    <mergeCell ref="E41:G41"/>
    <mergeCell ref="H41:I41"/>
    <mergeCell ref="C39:D39"/>
    <mergeCell ref="E39:G39"/>
    <mergeCell ref="H39:I39"/>
    <mergeCell ref="C40:D40"/>
    <mergeCell ref="E40:G40"/>
    <mergeCell ref="H40:I40"/>
    <mergeCell ref="C41:D41"/>
    <mergeCell ref="E44:G44"/>
    <mergeCell ref="H44:I44"/>
    <mergeCell ref="C42:D42"/>
    <mergeCell ref="E42:G42"/>
    <mergeCell ref="H42:I42"/>
    <mergeCell ref="C43:D43"/>
    <mergeCell ref="E43:G43"/>
    <mergeCell ref="H43:I43"/>
    <mergeCell ref="C44:D44"/>
    <mergeCell ref="E47:G47"/>
    <mergeCell ref="H47:I47"/>
    <mergeCell ref="C45:D45"/>
    <mergeCell ref="E45:G45"/>
    <mergeCell ref="H45:I45"/>
    <mergeCell ref="C46:D46"/>
    <mergeCell ref="E46:G46"/>
    <mergeCell ref="H46:I46"/>
    <mergeCell ref="C47:D47"/>
  </mergeCells>
  <conditionalFormatting sqref="A2:A14 A16:A17 A20:A24 A26:A48 A51:A55 A57:A60 A63:A94 A97:A105 A107:A108 A110:A118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16.0"/>
  </cols>
  <sheetData>
    <row r="1">
      <c r="A1" s="84" t="s">
        <v>136</v>
      </c>
      <c r="B1" s="2"/>
      <c r="C1" s="2"/>
      <c r="D1" s="2"/>
      <c r="E1" s="2"/>
      <c r="F1" s="2"/>
      <c r="G1" s="2"/>
      <c r="H1" s="2"/>
      <c r="I1" s="2"/>
      <c r="J1" s="3"/>
    </row>
    <row r="2">
      <c r="A2" s="85" t="s">
        <v>137</v>
      </c>
      <c r="B2" s="2"/>
      <c r="C2" s="2"/>
      <c r="D2" s="2"/>
      <c r="E2" s="3"/>
      <c r="F2" s="86">
        <v>1.00384417387E11</v>
      </c>
      <c r="G2" s="2"/>
      <c r="H2" s="2"/>
      <c r="I2" s="3"/>
      <c r="J2" s="87"/>
    </row>
    <row r="3">
      <c r="A3" s="85" t="s">
        <v>138</v>
      </c>
      <c r="B3" s="2"/>
      <c r="C3" s="2"/>
      <c r="D3" s="2"/>
      <c r="E3" s="3"/>
      <c r="F3" s="88" t="s">
        <v>139</v>
      </c>
      <c r="G3" s="2"/>
      <c r="H3" s="2"/>
      <c r="I3" s="3"/>
      <c r="J3" s="87"/>
    </row>
    <row r="4">
      <c r="A4" s="84" t="s">
        <v>140</v>
      </c>
      <c r="B4" s="2"/>
      <c r="C4" s="2"/>
      <c r="D4" s="2"/>
      <c r="E4" s="2"/>
      <c r="F4" s="2"/>
      <c r="G4" s="2"/>
      <c r="H4" s="2"/>
      <c r="I4" s="2"/>
      <c r="J4" s="3"/>
    </row>
    <row r="5">
      <c r="A5" s="89" t="s">
        <v>141</v>
      </c>
      <c r="B5" s="3"/>
      <c r="C5" s="90" t="s">
        <v>142</v>
      </c>
      <c r="D5" s="2"/>
      <c r="E5" s="3"/>
      <c r="F5" s="91" t="s">
        <v>70</v>
      </c>
      <c r="G5" s="92" t="s">
        <v>143</v>
      </c>
      <c r="H5" s="3"/>
      <c r="I5" s="93" t="s">
        <v>144</v>
      </c>
      <c r="J5" s="94"/>
    </row>
    <row r="6">
      <c r="A6" s="95">
        <v>8.95820207E8</v>
      </c>
      <c r="B6" s="3"/>
      <c r="C6" s="96" t="s">
        <v>145</v>
      </c>
      <c r="D6" s="2"/>
      <c r="E6" s="3"/>
      <c r="F6" s="97" t="s">
        <v>146</v>
      </c>
      <c r="G6" s="98" t="s">
        <v>147</v>
      </c>
      <c r="H6" s="3"/>
      <c r="I6" s="97" t="s">
        <v>148</v>
      </c>
      <c r="J6" s="87"/>
    </row>
    <row r="7">
      <c r="A7" s="99" t="s">
        <v>149</v>
      </c>
      <c r="B7" s="3"/>
      <c r="C7" s="100" t="s">
        <v>150</v>
      </c>
      <c r="D7" s="2"/>
      <c r="E7" s="3"/>
      <c r="F7" s="97" t="s">
        <v>146</v>
      </c>
      <c r="G7" s="101" t="s">
        <v>151</v>
      </c>
      <c r="H7" s="3"/>
      <c r="I7" s="102" t="s">
        <v>152</v>
      </c>
      <c r="J7" s="87"/>
    </row>
    <row r="8">
      <c r="A8" s="95">
        <v>6.06094612E8</v>
      </c>
      <c r="B8" s="3"/>
      <c r="C8" s="96" t="s">
        <v>153</v>
      </c>
      <c r="D8" s="2"/>
      <c r="E8" s="3"/>
      <c r="F8" s="97" t="s">
        <v>146</v>
      </c>
      <c r="G8" s="98" t="s">
        <v>154</v>
      </c>
      <c r="H8" s="3"/>
      <c r="I8" s="97" t="s">
        <v>148</v>
      </c>
      <c r="J8" s="87"/>
    </row>
    <row r="9">
      <c r="A9" s="95">
        <v>6.07316947E8</v>
      </c>
      <c r="B9" s="3"/>
      <c r="C9" s="96" t="s">
        <v>155</v>
      </c>
      <c r="D9" s="2"/>
      <c r="E9" s="3"/>
      <c r="F9" s="97" t="s">
        <v>156</v>
      </c>
      <c r="G9" s="98" t="s">
        <v>157</v>
      </c>
      <c r="H9" s="3"/>
      <c r="I9" s="97" t="s">
        <v>148</v>
      </c>
      <c r="J9" s="87"/>
    </row>
    <row r="10">
      <c r="A10" s="103"/>
      <c r="B10" s="3"/>
      <c r="C10" s="96" t="s">
        <v>158</v>
      </c>
      <c r="D10" s="2"/>
      <c r="E10" s="3"/>
      <c r="F10" s="97" t="s">
        <v>146</v>
      </c>
      <c r="G10" s="98" t="s">
        <v>159</v>
      </c>
      <c r="H10" s="3"/>
      <c r="I10" s="97" t="s">
        <v>160</v>
      </c>
      <c r="J10" s="87"/>
    </row>
    <row r="11">
      <c r="A11" s="103"/>
      <c r="B11" s="3"/>
      <c r="C11" s="96" t="s">
        <v>161</v>
      </c>
      <c r="D11" s="2"/>
      <c r="E11" s="3"/>
      <c r="F11" s="97" t="s">
        <v>146</v>
      </c>
      <c r="G11" s="98" t="s">
        <v>159</v>
      </c>
      <c r="H11" s="3"/>
      <c r="I11" s="97" t="s">
        <v>160</v>
      </c>
      <c r="J11" s="87"/>
    </row>
    <row r="12">
      <c r="A12" s="95">
        <v>6.45030331E8</v>
      </c>
      <c r="B12" s="3"/>
      <c r="C12" s="96" t="s">
        <v>162</v>
      </c>
      <c r="D12" s="2"/>
      <c r="E12" s="3"/>
      <c r="F12" s="104" t="s">
        <v>163</v>
      </c>
      <c r="G12" s="98" t="s">
        <v>164</v>
      </c>
      <c r="H12" s="3"/>
      <c r="I12" s="97" t="s">
        <v>148</v>
      </c>
      <c r="J12" s="87"/>
    </row>
    <row r="13">
      <c r="A13" s="105" t="s">
        <v>165</v>
      </c>
      <c r="B13" s="2"/>
      <c r="C13" s="2"/>
      <c r="D13" s="2"/>
      <c r="E13" s="2"/>
      <c r="F13" s="2"/>
      <c r="G13" s="3"/>
      <c r="H13" s="106">
        <v>5.000032529791E12</v>
      </c>
      <c r="I13" s="3"/>
      <c r="J13" s="87"/>
    </row>
    <row r="14">
      <c r="A14" s="84" t="s">
        <v>166</v>
      </c>
      <c r="B14" s="2"/>
      <c r="C14" s="2"/>
      <c r="D14" s="2"/>
      <c r="E14" s="2"/>
      <c r="F14" s="2"/>
      <c r="G14" s="2"/>
      <c r="H14" s="2"/>
      <c r="I14" s="2"/>
      <c r="J14" s="3"/>
    </row>
    <row r="15">
      <c r="A15" s="107" t="s">
        <v>25</v>
      </c>
      <c r="B15" s="51"/>
      <c r="C15" s="108" t="s">
        <v>26</v>
      </c>
      <c r="D15" s="2"/>
      <c r="E15" s="108" t="s">
        <v>27</v>
      </c>
      <c r="F15" s="2"/>
      <c r="G15" s="2"/>
      <c r="H15" s="108" t="s">
        <v>28</v>
      </c>
      <c r="I15" s="3"/>
      <c r="J15" s="87"/>
    </row>
    <row r="16">
      <c r="A16" s="26">
        <v>255000.0</v>
      </c>
      <c r="C16" s="27">
        <v>1.9931206681E10</v>
      </c>
      <c r="D16" s="2"/>
      <c r="E16" s="28" t="s">
        <v>29</v>
      </c>
      <c r="F16" s="2"/>
      <c r="G16" s="2"/>
      <c r="H16" s="36" t="s">
        <v>30</v>
      </c>
      <c r="I16" s="3"/>
      <c r="J16" s="87"/>
    </row>
    <row r="17">
      <c r="A17" s="26">
        <v>210000.0</v>
      </c>
      <c r="C17" s="27">
        <v>9.10122344883E11</v>
      </c>
      <c r="D17" s="2"/>
      <c r="E17" s="28" t="s">
        <v>31</v>
      </c>
      <c r="F17" s="2"/>
      <c r="G17" s="2"/>
      <c r="H17" s="36" t="s">
        <v>32</v>
      </c>
      <c r="I17" s="3"/>
      <c r="J17" s="87"/>
    </row>
    <row r="18">
      <c r="A18" s="26">
        <v>210000.0</v>
      </c>
      <c r="C18" s="27">
        <v>8812871.0</v>
      </c>
      <c r="D18" s="2"/>
      <c r="E18" s="28" t="s">
        <v>33</v>
      </c>
      <c r="F18" s="2"/>
      <c r="G18" s="2"/>
      <c r="H18" s="36" t="s">
        <v>34</v>
      </c>
      <c r="I18" s="3"/>
      <c r="J18" s="87"/>
    </row>
    <row r="19">
      <c r="A19" s="26">
        <v>157500.0</v>
      </c>
      <c r="C19" s="27">
        <v>7.9945604345E10</v>
      </c>
      <c r="D19" s="2"/>
      <c r="E19" s="109" t="s">
        <v>35</v>
      </c>
      <c r="F19" s="2"/>
      <c r="G19" s="2"/>
      <c r="H19" s="36" t="s">
        <v>36</v>
      </c>
      <c r="I19" s="3"/>
      <c r="J19" s="87"/>
    </row>
    <row r="20">
      <c r="A20" s="26">
        <v>105000.0</v>
      </c>
      <c r="C20" s="27">
        <v>9.107110465E9</v>
      </c>
      <c r="D20" s="2"/>
      <c r="E20" s="110" t="s">
        <v>37</v>
      </c>
      <c r="F20" s="2"/>
      <c r="G20" s="2"/>
      <c r="H20" s="36" t="s">
        <v>38</v>
      </c>
      <c r="I20" s="3"/>
      <c r="J20" s="87"/>
    </row>
    <row r="21">
      <c r="A21" s="26">
        <v>105000.0</v>
      </c>
      <c r="C21" s="27">
        <v>9.109086833E9</v>
      </c>
      <c r="D21" s="2"/>
      <c r="E21" s="110" t="s">
        <v>37</v>
      </c>
      <c r="F21" s="2"/>
      <c r="G21" s="2"/>
      <c r="H21" s="36" t="s">
        <v>38</v>
      </c>
      <c r="I21" s="3"/>
      <c r="J21" s="87"/>
    </row>
    <row r="22">
      <c r="A22" s="26">
        <v>52500.0</v>
      </c>
      <c r="C22" s="27">
        <v>7.0645208226E10</v>
      </c>
      <c r="D22" s="2"/>
      <c r="E22" s="109" t="s">
        <v>35</v>
      </c>
      <c r="F22" s="2"/>
      <c r="G22" s="2"/>
      <c r="H22" s="36" t="s">
        <v>51</v>
      </c>
      <c r="I22" s="3"/>
      <c r="J22" s="87"/>
    </row>
    <row r="23">
      <c r="A23" s="26">
        <v>55000.0</v>
      </c>
      <c r="C23" s="27">
        <v>5827932.0</v>
      </c>
      <c r="D23" s="2"/>
      <c r="E23" s="28" t="s">
        <v>39</v>
      </c>
      <c r="F23" s="2"/>
      <c r="G23" s="2"/>
      <c r="H23" s="36" t="s">
        <v>40</v>
      </c>
      <c r="I23" s="3"/>
      <c r="J23" s="87"/>
    </row>
    <row r="24">
      <c r="A24" s="26">
        <v>50000.0</v>
      </c>
      <c r="C24" s="27">
        <v>9.1030838996E10</v>
      </c>
      <c r="D24" s="2"/>
      <c r="E24" s="28" t="s">
        <v>52</v>
      </c>
      <c r="F24" s="2"/>
      <c r="G24" s="2"/>
      <c r="H24" s="36" t="s">
        <v>53</v>
      </c>
      <c r="I24" s="3"/>
      <c r="J24" s="87"/>
    </row>
    <row r="25">
      <c r="A25" s="26">
        <v>50000.0</v>
      </c>
      <c r="C25" s="27">
        <v>3.4875214E7</v>
      </c>
      <c r="D25" s="2"/>
      <c r="E25" s="28" t="s">
        <v>43</v>
      </c>
      <c r="F25" s="2"/>
      <c r="G25" s="2"/>
      <c r="H25" s="36" t="s">
        <v>44</v>
      </c>
      <c r="I25" s="3"/>
      <c r="J25" s="87"/>
    </row>
    <row r="26">
      <c r="A26" s="26">
        <v>50000.0</v>
      </c>
      <c r="C26" s="27">
        <v>4.358013E7</v>
      </c>
      <c r="D26" s="2"/>
      <c r="E26" s="28" t="s">
        <v>49</v>
      </c>
      <c r="F26" s="2"/>
      <c r="G26" s="2"/>
      <c r="H26" s="36" t="s">
        <v>50</v>
      </c>
      <c r="I26" s="3"/>
      <c r="J26" s="87"/>
    </row>
    <row r="27">
      <c r="A27" s="26">
        <v>50000.0</v>
      </c>
      <c r="C27" s="27">
        <v>1.653089E7</v>
      </c>
      <c r="D27" s="2"/>
      <c r="E27" s="28" t="s">
        <v>41</v>
      </c>
      <c r="F27" s="2"/>
      <c r="G27" s="2"/>
      <c r="H27" s="36" t="s">
        <v>42</v>
      </c>
      <c r="I27" s="3"/>
      <c r="J27" s="87"/>
    </row>
    <row r="28">
      <c r="A28" s="26">
        <v>50000.0</v>
      </c>
      <c r="C28" s="27">
        <v>4.99393162186E11</v>
      </c>
      <c r="D28" s="2"/>
      <c r="E28" s="28" t="s">
        <v>54</v>
      </c>
      <c r="F28" s="2"/>
      <c r="G28" s="2"/>
      <c r="H28" s="36" t="s">
        <v>56</v>
      </c>
      <c r="I28" s="3"/>
      <c r="J28" s="87"/>
    </row>
    <row r="29">
      <c r="A29" s="26">
        <v>50000.0</v>
      </c>
      <c r="C29" s="27">
        <v>3.7938465E7</v>
      </c>
      <c r="D29" s="2"/>
      <c r="E29" s="28" t="s">
        <v>47</v>
      </c>
      <c r="F29" s="2"/>
      <c r="G29" s="2"/>
      <c r="H29" s="36" t="s">
        <v>48</v>
      </c>
      <c r="I29" s="3"/>
      <c r="J29" s="87"/>
    </row>
    <row r="30">
      <c r="A30" s="26">
        <v>45000.0</v>
      </c>
      <c r="C30" s="27">
        <v>4.99393163225E11</v>
      </c>
      <c r="D30" s="2"/>
      <c r="E30" s="28" t="s">
        <v>54</v>
      </c>
      <c r="F30" s="2"/>
      <c r="G30" s="2"/>
      <c r="H30" s="36" t="s">
        <v>55</v>
      </c>
      <c r="I30" s="3"/>
      <c r="J30" s="87"/>
    </row>
    <row r="31">
      <c r="A31" s="26">
        <v>15000.0</v>
      </c>
      <c r="C31" s="27">
        <v>9.1086763901E10</v>
      </c>
      <c r="D31" s="2"/>
      <c r="E31" s="28" t="s">
        <v>45</v>
      </c>
      <c r="F31" s="2"/>
      <c r="G31" s="2"/>
      <c r="H31" s="36" t="s">
        <v>46</v>
      </c>
      <c r="I31" s="3"/>
      <c r="J31" s="87"/>
    </row>
    <row r="32">
      <c r="A32" s="26">
        <v>7500.0</v>
      </c>
      <c r="C32" s="27">
        <v>3.1037882271E10</v>
      </c>
      <c r="D32" s="2"/>
      <c r="E32" s="28" t="s">
        <v>63</v>
      </c>
      <c r="F32" s="2"/>
      <c r="G32" s="2"/>
      <c r="H32" s="36" t="s">
        <v>64</v>
      </c>
      <c r="I32" s="3"/>
      <c r="J32" s="87"/>
    </row>
    <row r="33">
      <c r="A33" s="26">
        <v>20000.0</v>
      </c>
      <c r="C33" s="27"/>
      <c r="D33" s="2"/>
      <c r="E33" s="28"/>
      <c r="F33" s="2"/>
      <c r="G33" s="2"/>
      <c r="H33" s="36"/>
      <c r="I33" s="3"/>
      <c r="J33" s="87"/>
    </row>
    <row r="34">
      <c r="A34" s="37">
        <f>SUM(A16:A33)</f>
        <v>1537500</v>
      </c>
      <c r="B34" s="15"/>
      <c r="C34" s="16" t="s">
        <v>65</v>
      </c>
      <c r="D34" s="2"/>
      <c r="E34" s="2"/>
      <c r="F34" s="2"/>
      <c r="G34" s="2"/>
      <c r="H34" s="3"/>
      <c r="I34" s="111"/>
      <c r="J34" s="87"/>
    </row>
    <row r="35">
      <c r="A35" s="84" t="s">
        <v>167</v>
      </c>
      <c r="B35" s="2"/>
      <c r="C35" s="2"/>
      <c r="D35" s="2"/>
      <c r="E35" s="2"/>
      <c r="F35" s="2"/>
      <c r="G35" s="2"/>
      <c r="H35" s="2"/>
      <c r="I35" s="2"/>
      <c r="J35" s="3"/>
    </row>
    <row r="36">
      <c r="A36" s="112" t="s">
        <v>168</v>
      </c>
      <c r="B36" s="113" t="s">
        <v>160</v>
      </c>
      <c r="C36" s="3"/>
      <c r="D36" s="113" t="s">
        <v>152</v>
      </c>
      <c r="E36" s="3"/>
      <c r="F36" s="113" t="s">
        <v>169</v>
      </c>
      <c r="G36" s="3"/>
      <c r="H36" s="113" t="s">
        <v>160</v>
      </c>
      <c r="I36" s="3"/>
      <c r="J36" s="114" t="s">
        <v>170</v>
      </c>
    </row>
    <row r="37">
      <c r="A37" s="112" t="s">
        <v>70</v>
      </c>
      <c r="B37" s="115" t="s">
        <v>171</v>
      </c>
      <c r="C37" s="3"/>
      <c r="D37" s="116" t="s">
        <v>172</v>
      </c>
      <c r="E37" s="3"/>
      <c r="F37" s="116" t="s">
        <v>172</v>
      </c>
      <c r="G37" s="3"/>
      <c r="H37" s="115" t="s">
        <v>173</v>
      </c>
      <c r="I37" s="3"/>
      <c r="J37" s="117">
        <v>1.47863691E8</v>
      </c>
    </row>
    <row r="38">
      <c r="A38" s="112" t="s">
        <v>174</v>
      </c>
      <c r="B38" s="118">
        <v>2.0118126998E10</v>
      </c>
      <c r="C38" s="3"/>
      <c r="D38" s="119">
        <v>4.001607199E9</v>
      </c>
      <c r="E38" s="3"/>
      <c r="F38" s="119">
        <v>9.11010050206821E14</v>
      </c>
      <c r="G38" s="3"/>
      <c r="H38" s="118">
        <v>3.3033623274E10</v>
      </c>
      <c r="I38" s="3"/>
      <c r="J38" s="117">
        <v>2.4650100009483E13</v>
      </c>
    </row>
    <row r="39">
      <c r="A39" s="112" t="s">
        <v>175</v>
      </c>
      <c r="B39" s="115" t="s">
        <v>176</v>
      </c>
      <c r="C39" s="3"/>
      <c r="D39" s="116" t="s">
        <v>177</v>
      </c>
      <c r="E39" s="3"/>
      <c r="F39" s="116" t="s">
        <v>178</v>
      </c>
      <c r="G39" s="3"/>
      <c r="H39" s="120" t="s">
        <v>176</v>
      </c>
      <c r="I39" s="121"/>
      <c r="J39" s="122" t="s">
        <v>176</v>
      </c>
    </row>
    <row r="40">
      <c r="A40" s="112" t="s">
        <v>179</v>
      </c>
      <c r="B40" s="115" t="s">
        <v>180</v>
      </c>
      <c r="C40" s="3"/>
      <c r="D40" s="116" t="s">
        <v>181</v>
      </c>
      <c r="E40" s="3"/>
      <c r="F40" s="116" t="s">
        <v>182</v>
      </c>
      <c r="G40" s="3"/>
      <c r="H40" s="115" t="s">
        <v>180</v>
      </c>
      <c r="I40" s="3"/>
      <c r="J40" s="123"/>
    </row>
    <row r="41">
      <c r="A41" s="124"/>
      <c r="B41" s="3"/>
      <c r="C41" s="84" t="s">
        <v>183</v>
      </c>
      <c r="D41" s="3"/>
      <c r="E41" s="84" t="s">
        <v>156</v>
      </c>
      <c r="F41" s="3"/>
      <c r="G41" s="84" t="s">
        <v>184</v>
      </c>
      <c r="H41" s="3"/>
      <c r="I41" s="84" t="s">
        <v>185</v>
      </c>
      <c r="J41" s="3"/>
    </row>
    <row r="42">
      <c r="A42" s="125" t="s">
        <v>186</v>
      </c>
      <c r="B42" s="3"/>
      <c r="C42" s="126" t="s">
        <v>187</v>
      </c>
      <c r="D42" s="3"/>
      <c r="E42" s="126" t="s">
        <v>188</v>
      </c>
      <c r="F42" s="3"/>
      <c r="G42" s="126" t="s">
        <v>189</v>
      </c>
      <c r="H42" s="3"/>
      <c r="I42" s="126" t="s">
        <v>190</v>
      </c>
      <c r="J42" s="3"/>
    </row>
    <row r="43">
      <c r="A43" s="125" t="s">
        <v>191</v>
      </c>
      <c r="B43" s="3"/>
      <c r="C43" s="127" t="s">
        <v>192</v>
      </c>
      <c r="D43" s="3"/>
      <c r="E43" s="127" t="s">
        <v>193</v>
      </c>
      <c r="F43" s="3"/>
      <c r="G43" s="127" t="s">
        <v>194</v>
      </c>
      <c r="H43" s="3"/>
      <c r="I43" s="127" t="s">
        <v>194</v>
      </c>
      <c r="J43" s="3"/>
    </row>
    <row r="44">
      <c r="A44" s="128" t="s">
        <v>195</v>
      </c>
      <c r="B44" s="3"/>
      <c r="C44" s="127" t="s">
        <v>194</v>
      </c>
      <c r="D44" s="3"/>
      <c r="E44" s="127" t="s">
        <v>194</v>
      </c>
      <c r="F44" s="3"/>
      <c r="G44" s="129">
        <v>2.01708004464E11</v>
      </c>
      <c r="H44" s="3"/>
      <c r="I44" s="129">
        <v>2.01508003392E11</v>
      </c>
      <c r="J44" s="3"/>
    </row>
    <row r="45">
      <c r="A45" s="125" t="s">
        <v>196</v>
      </c>
      <c r="B45" s="3"/>
      <c r="C45" s="127" t="s">
        <v>197</v>
      </c>
      <c r="D45" s="3"/>
      <c r="E45" s="127" t="s">
        <v>194</v>
      </c>
      <c r="F45" s="3"/>
      <c r="G45" s="127" t="s">
        <v>194</v>
      </c>
      <c r="H45" s="3"/>
      <c r="I45" s="127" t="s">
        <v>194</v>
      </c>
      <c r="J45" s="3"/>
    </row>
    <row r="46">
      <c r="A46" s="125" t="s">
        <v>198</v>
      </c>
      <c r="B46" s="3"/>
      <c r="C46" s="130">
        <v>3.0058216980362E13</v>
      </c>
      <c r="D46" s="3"/>
      <c r="E46" s="130">
        <v>3.0099489856081E13</v>
      </c>
      <c r="F46" s="3"/>
      <c r="G46" s="131"/>
      <c r="H46" s="3"/>
      <c r="I46" s="131"/>
      <c r="J46" s="3"/>
    </row>
    <row r="47">
      <c r="A47" s="125" t="s">
        <v>199</v>
      </c>
      <c r="B47" s="3"/>
      <c r="C47" s="130" t="s">
        <v>200</v>
      </c>
      <c r="D47" s="3"/>
      <c r="E47" s="130" t="s">
        <v>201</v>
      </c>
      <c r="F47" s="3"/>
      <c r="G47" s="131"/>
      <c r="H47" s="3"/>
      <c r="I47" s="131"/>
      <c r="J47" s="3"/>
    </row>
    <row r="48">
      <c r="A48" s="125" t="s">
        <v>202</v>
      </c>
      <c r="B48" s="3"/>
      <c r="C48" s="130" t="s">
        <v>203</v>
      </c>
      <c r="D48" s="2"/>
      <c r="E48" s="2"/>
      <c r="F48" s="2"/>
      <c r="G48" s="125" t="s">
        <v>204</v>
      </c>
      <c r="H48" s="3"/>
      <c r="I48" s="132">
        <v>7.500631403E9</v>
      </c>
      <c r="J48" s="3"/>
    </row>
    <row r="49">
      <c r="A49" s="125" t="s">
        <v>205</v>
      </c>
      <c r="B49" s="3"/>
      <c r="C49" s="133">
        <v>1.177120461E9</v>
      </c>
      <c r="D49" s="2"/>
      <c r="E49" s="2"/>
      <c r="F49" s="2"/>
      <c r="G49" s="125" t="s">
        <v>206</v>
      </c>
      <c r="H49" s="3"/>
      <c r="I49" s="132">
        <v>9.000029069E9</v>
      </c>
      <c r="J49" s="3"/>
    </row>
    <row r="50">
      <c r="A50" s="125" t="s">
        <v>207</v>
      </c>
      <c r="B50" s="3"/>
      <c r="C50" s="132">
        <v>3.65380491301E11</v>
      </c>
      <c r="D50" s="2"/>
      <c r="E50" s="2"/>
      <c r="F50" s="3"/>
      <c r="G50" s="134"/>
      <c r="H50" s="3"/>
      <c r="I50" s="135"/>
      <c r="J50" s="3"/>
    </row>
    <row r="51">
      <c r="A51" s="84" t="s">
        <v>208</v>
      </c>
      <c r="B51" s="2"/>
      <c r="C51" s="2"/>
      <c r="D51" s="2"/>
      <c r="E51" s="2"/>
      <c r="F51" s="2"/>
      <c r="G51" s="2"/>
      <c r="H51" s="2"/>
      <c r="I51" s="2"/>
      <c r="J51" s="3"/>
    </row>
    <row r="52">
      <c r="A52" s="136" t="s">
        <v>209</v>
      </c>
      <c r="B52" s="137" t="s">
        <v>210</v>
      </c>
      <c r="C52" s="138" t="s">
        <v>211</v>
      </c>
      <c r="D52" s="3"/>
      <c r="E52" s="138" t="s">
        <v>212</v>
      </c>
      <c r="F52" s="3"/>
      <c r="G52" s="138" t="s">
        <v>213</v>
      </c>
      <c r="H52" s="3"/>
      <c r="I52" s="138" t="s">
        <v>214</v>
      </c>
      <c r="J52" s="3"/>
    </row>
    <row r="53">
      <c r="A53" s="138" t="s">
        <v>215</v>
      </c>
      <c r="B53" s="3"/>
      <c r="C53" s="139" t="s">
        <v>216</v>
      </c>
      <c r="D53" s="3"/>
      <c r="E53" s="138" t="s">
        <v>217</v>
      </c>
      <c r="F53" s="3"/>
      <c r="G53" s="138" t="s">
        <v>218</v>
      </c>
      <c r="H53" s="3"/>
      <c r="I53" s="140" t="s">
        <v>219</v>
      </c>
      <c r="J53" s="3"/>
    </row>
    <row r="54">
      <c r="A54" s="141" t="s">
        <v>220</v>
      </c>
      <c r="B54" s="3"/>
      <c r="C54" s="138" t="s">
        <v>221</v>
      </c>
      <c r="D54" s="3"/>
      <c r="E54" s="142" t="s">
        <v>222</v>
      </c>
      <c r="F54" s="3"/>
      <c r="G54" s="142" t="s">
        <v>223</v>
      </c>
      <c r="H54" s="3"/>
      <c r="I54" s="142" t="s">
        <v>224</v>
      </c>
      <c r="J54" s="3"/>
    </row>
  </sheetData>
  <mergeCells count="173">
    <mergeCell ref="A42:B42"/>
    <mergeCell ref="C42:D42"/>
    <mergeCell ref="E42:F42"/>
    <mergeCell ref="G42:H42"/>
    <mergeCell ref="I42:J42"/>
    <mergeCell ref="C43:D43"/>
    <mergeCell ref="I43:J43"/>
    <mergeCell ref="A43:B43"/>
    <mergeCell ref="A44:B44"/>
    <mergeCell ref="C44:D44"/>
    <mergeCell ref="E44:F44"/>
    <mergeCell ref="G44:H44"/>
    <mergeCell ref="I44:J44"/>
    <mergeCell ref="A45:B45"/>
    <mergeCell ref="C48:F48"/>
    <mergeCell ref="C49:F49"/>
    <mergeCell ref="A50:B50"/>
    <mergeCell ref="C50:F50"/>
    <mergeCell ref="C45:D45"/>
    <mergeCell ref="E45:F45"/>
    <mergeCell ref="A46:B46"/>
    <mergeCell ref="C46:D46"/>
    <mergeCell ref="E46:F46"/>
    <mergeCell ref="C47:D47"/>
    <mergeCell ref="E47:F47"/>
    <mergeCell ref="G48:H48"/>
    <mergeCell ref="G49:H49"/>
    <mergeCell ref="G50:H50"/>
    <mergeCell ref="G45:H45"/>
    <mergeCell ref="I45:J45"/>
    <mergeCell ref="G46:H46"/>
    <mergeCell ref="I46:J46"/>
    <mergeCell ref="G47:H47"/>
    <mergeCell ref="I47:J47"/>
    <mergeCell ref="I48:J48"/>
    <mergeCell ref="D39:E39"/>
    <mergeCell ref="F39:G39"/>
    <mergeCell ref="D37:E37"/>
    <mergeCell ref="F37:G37"/>
    <mergeCell ref="B38:C38"/>
    <mergeCell ref="D38:E38"/>
    <mergeCell ref="F38:G38"/>
    <mergeCell ref="H38:I38"/>
    <mergeCell ref="B39:C39"/>
    <mergeCell ref="G41:H41"/>
    <mergeCell ref="I41:J41"/>
    <mergeCell ref="B40:C40"/>
    <mergeCell ref="D40:E40"/>
    <mergeCell ref="F40:G40"/>
    <mergeCell ref="H40:I40"/>
    <mergeCell ref="A41:B41"/>
    <mergeCell ref="C41:D41"/>
    <mergeCell ref="E41:F41"/>
    <mergeCell ref="E43:F43"/>
    <mergeCell ref="G43:H43"/>
    <mergeCell ref="A47:B47"/>
    <mergeCell ref="A48:B48"/>
    <mergeCell ref="A49:B49"/>
    <mergeCell ref="A53:B53"/>
    <mergeCell ref="A54:B54"/>
    <mergeCell ref="C53:D53"/>
    <mergeCell ref="E53:F53"/>
    <mergeCell ref="G53:H53"/>
    <mergeCell ref="I53:J53"/>
    <mergeCell ref="C54:D54"/>
    <mergeCell ref="E54:F54"/>
    <mergeCell ref="G54:H54"/>
    <mergeCell ref="I54:J54"/>
    <mergeCell ref="I49:J49"/>
    <mergeCell ref="I50:J50"/>
    <mergeCell ref="A51:J51"/>
    <mergeCell ref="C52:D52"/>
    <mergeCell ref="E52:F52"/>
    <mergeCell ref="G52:H52"/>
    <mergeCell ref="I52:J52"/>
    <mergeCell ref="E18:G18"/>
    <mergeCell ref="H18:I18"/>
    <mergeCell ref="C16:D16"/>
    <mergeCell ref="E16:G16"/>
    <mergeCell ref="H16:I16"/>
    <mergeCell ref="C17:D17"/>
    <mergeCell ref="E17:G17"/>
    <mergeCell ref="H17:I17"/>
    <mergeCell ref="C18:D18"/>
    <mergeCell ref="E21:G21"/>
    <mergeCell ref="H21:I21"/>
    <mergeCell ref="C19:D19"/>
    <mergeCell ref="E19:G19"/>
    <mergeCell ref="H19:I19"/>
    <mergeCell ref="C20:D20"/>
    <mergeCell ref="E20:G20"/>
    <mergeCell ref="H20:I20"/>
    <mergeCell ref="C21:D21"/>
    <mergeCell ref="E24:G24"/>
    <mergeCell ref="H24:I24"/>
    <mergeCell ref="C22:D22"/>
    <mergeCell ref="E22:G22"/>
    <mergeCell ref="H22:I22"/>
    <mergeCell ref="C23:D23"/>
    <mergeCell ref="E23:G23"/>
    <mergeCell ref="H23:I23"/>
    <mergeCell ref="C24:D24"/>
    <mergeCell ref="E27:G27"/>
    <mergeCell ref="H27:I27"/>
    <mergeCell ref="C25:D25"/>
    <mergeCell ref="E25:G25"/>
    <mergeCell ref="H25:I25"/>
    <mergeCell ref="C26:D26"/>
    <mergeCell ref="E26:G26"/>
    <mergeCell ref="H26:I26"/>
    <mergeCell ref="C27:D27"/>
    <mergeCell ref="E30:G30"/>
    <mergeCell ref="H30:I30"/>
    <mergeCell ref="C28:D28"/>
    <mergeCell ref="E28:G28"/>
    <mergeCell ref="H28:I28"/>
    <mergeCell ref="C29:D29"/>
    <mergeCell ref="E29:G29"/>
    <mergeCell ref="H29:I29"/>
    <mergeCell ref="C30:D30"/>
    <mergeCell ref="E33:G33"/>
    <mergeCell ref="H33:I33"/>
    <mergeCell ref="C31:D31"/>
    <mergeCell ref="E31:G31"/>
    <mergeCell ref="H31:I31"/>
    <mergeCell ref="C32:D32"/>
    <mergeCell ref="E32:G32"/>
    <mergeCell ref="H32:I32"/>
    <mergeCell ref="C33:D33"/>
    <mergeCell ref="C5:E5"/>
    <mergeCell ref="G5:H5"/>
    <mergeCell ref="A1:J1"/>
    <mergeCell ref="A2:E2"/>
    <mergeCell ref="F2:I2"/>
    <mergeCell ref="A3:E3"/>
    <mergeCell ref="F3:I3"/>
    <mergeCell ref="A4:J4"/>
    <mergeCell ref="A5:B5"/>
    <mergeCell ref="G7:H7"/>
    <mergeCell ref="G8:H8"/>
    <mergeCell ref="G9:H9"/>
    <mergeCell ref="G10:H10"/>
    <mergeCell ref="G11:H11"/>
    <mergeCell ref="G12:H12"/>
    <mergeCell ref="A6:B6"/>
    <mergeCell ref="C6:E6"/>
    <mergeCell ref="G6:H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G13"/>
    <mergeCell ref="H13:I13"/>
    <mergeCell ref="A14:J14"/>
    <mergeCell ref="C15:D15"/>
    <mergeCell ref="E15:G15"/>
    <mergeCell ref="H15:I15"/>
    <mergeCell ref="C34:H34"/>
    <mergeCell ref="A35:J35"/>
    <mergeCell ref="B36:C36"/>
    <mergeCell ref="D36:E36"/>
    <mergeCell ref="F36:G36"/>
    <mergeCell ref="H36:I36"/>
    <mergeCell ref="B37:C37"/>
    <mergeCell ref="H37:I37"/>
  </mergeCells>
  <conditionalFormatting sqref="A15:A33">
    <cfRule type="notContainsBlanks" dxfId="0" priority="1">
      <formula>LEN(TRIM(A15))&gt;0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2022-01-11T02:08:44Z</dcterms:created>
  <dc:creator>Srikanth Turpu</dc:creator>
</cp:coreProperties>
</file>
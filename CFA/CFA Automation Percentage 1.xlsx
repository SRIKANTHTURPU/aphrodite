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rtemis_Workspace\aphrodite\"/>
    </mc:Choice>
  </mc:AlternateContent>
  <xr:revisionPtr revIDLastSave="0" documentId="8_{8581B913-DB42-4430-87D7-54D98BF2F26F}" xr6:coauthVersionLast="47" xr6:coauthVersionMax="47" xr10:uidLastSave="{00000000-0000-0000-0000-000000000000}"/>
  <bookViews>
    <workbookView xWindow="-110" yWindow="-110" windowWidth="19420" windowHeight="11620" xr2:uid="{427288E8-9AF5-460E-B7FC-79A27B06D879}"/>
  </bookViews>
  <sheets>
    <sheet name="CFA" sheetId="1" r:id="rId1"/>
    <sheet name="MetricManager" sheetId="2" r:id="rId2"/>
  </sheets>
  <definedNames>
    <definedName name="_xlnm._FilterDatabase" localSheetId="0" hidden="1">CFA!$A$1:$K$34</definedName>
    <definedName name="_xlnm._FilterDatabase" localSheetId="1" hidden="1">MetricManager!$I$4:$I$4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2" l="1"/>
  <c r="M24" i="2"/>
  <c r="G10" i="1"/>
  <c r="E10" i="1"/>
  <c r="E11" i="1"/>
  <c r="E4" i="1"/>
  <c r="G23" i="1"/>
  <c r="E27" i="1"/>
  <c r="G18" i="1"/>
  <c r="E18" i="1"/>
  <c r="G17" i="1"/>
  <c r="E17" i="1"/>
  <c r="E12" i="1"/>
  <c r="G12" i="1"/>
  <c r="F34" i="1"/>
  <c r="D34" i="1"/>
  <c r="C34" i="1"/>
  <c r="G2" i="2"/>
  <c r="E2" i="2"/>
  <c r="G21" i="1"/>
  <c r="E21" i="1"/>
  <c r="G20" i="1"/>
  <c r="E20" i="1"/>
  <c r="E8" i="1"/>
  <c r="E5" i="1"/>
  <c r="G19" i="1"/>
  <c r="E19" i="1"/>
  <c r="G14" i="1"/>
  <c r="E14" i="1"/>
  <c r="G7" i="1"/>
  <c r="E7" i="1"/>
  <c r="G3" i="1"/>
  <c r="E3" i="1"/>
  <c r="G16" i="1"/>
  <c r="E16" i="1"/>
  <c r="G13" i="1"/>
  <c r="E13" i="1"/>
  <c r="G28" i="1"/>
  <c r="G30" i="1"/>
  <c r="G31" i="1"/>
  <c r="E23" i="1"/>
  <c r="G26" i="1"/>
  <c r="E33" i="1"/>
  <c r="G33" i="1"/>
  <c r="G32" i="1"/>
  <c r="E32" i="1"/>
  <c r="E31" i="1"/>
  <c r="E30" i="1"/>
  <c r="E28" i="1"/>
  <c r="E26" i="1"/>
  <c r="E22" i="1"/>
  <c r="E15" i="1"/>
  <c r="G22" i="1"/>
  <c r="G15" i="1"/>
  <c r="E34" i="1" l="1"/>
  <c r="G34" i="1"/>
</calcChain>
</file>

<file path=xl/sharedStrings.xml><?xml version="1.0" encoding="utf-8"?>
<sst xmlns="http://schemas.openxmlformats.org/spreadsheetml/2006/main" count="78" uniqueCount="47">
  <si>
    <t>Feature/Section</t>
  </si>
  <si>
    <t>Sub-Section</t>
  </si>
  <si>
    <t>No.Of Testcases in Regression Suite</t>
  </si>
  <si>
    <t>No.Of. Identified Automatable Testcases from Regression Suite</t>
  </si>
  <si>
    <t>Percentage of potential automation</t>
  </si>
  <si>
    <t>No.Of Testcases Already Automated</t>
  </si>
  <si>
    <t>Automation Percentage</t>
  </si>
  <si>
    <t>Feature Owner</t>
  </si>
  <si>
    <t>Effort</t>
  </si>
  <si>
    <t>Deadline</t>
  </si>
  <si>
    <t>Notes</t>
  </si>
  <si>
    <t>Explore</t>
  </si>
  <si>
    <t>Agrima</t>
  </si>
  <si>
    <t>Content Export</t>
  </si>
  <si>
    <t>Sharing</t>
  </si>
  <si>
    <t>Stories</t>
  </si>
  <si>
    <t>NIKITHA</t>
  </si>
  <si>
    <t>Visualize</t>
  </si>
  <si>
    <t>SANTOSH</t>
  </si>
  <si>
    <t>Cohorts</t>
  </si>
  <si>
    <t>SRIKANTH</t>
  </si>
  <si>
    <t>Slices</t>
  </si>
  <si>
    <t>Vamsee</t>
  </si>
  <si>
    <t>Benchmarks</t>
  </si>
  <si>
    <t>Home</t>
  </si>
  <si>
    <t>SUBHA</t>
  </si>
  <si>
    <t>Custom Measures</t>
  </si>
  <si>
    <t>Pagination</t>
  </si>
  <si>
    <t>Platform Search</t>
  </si>
  <si>
    <t>Custom Breakdowns</t>
  </si>
  <si>
    <t>Library</t>
  </si>
  <si>
    <t>Global Filters</t>
  </si>
  <si>
    <t>Foundations</t>
  </si>
  <si>
    <t>Admin</t>
  </si>
  <si>
    <t>ABHI</t>
  </si>
  <si>
    <t>CSV Download</t>
  </si>
  <si>
    <t>Standard Stories</t>
  </si>
  <si>
    <t>SANTOSH/SUBHA</t>
  </si>
  <si>
    <t>Standard Dashboard</t>
  </si>
  <si>
    <t>Data Tables</t>
  </si>
  <si>
    <t>Medical ClaimLines</t>
  </si>
  <si>
    <t>Rx Claims</t>
  </si>
  <si>
    <t>Members</t>
  </si>
  <si>
    <t>MemberLookup</t>
  </si>
  <si>
    <t>Total Testcases</t>
  </si>
  <si>
    <t>Metric Manager</t>
  </si>
  <si>
    <t>Abhimanyu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</si>
</sst>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BD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/>
    <xf numFmtId="9" fontId="2" fillId="3" borderId="1" xfId="0" applyNumberFormat="1" applyFont="1" applyFill="1" applyBorder="1"/>
    <xf numFmtId="0" fontId="1" fillId="4" borderId="1" xfId="0" applyFont="1" applyFill="1" applyBorder="1"/>
    <xf numFmtId="0" fontId="3" fillId="5" borderId="1" xfId="0" applyFont="1" applyFill="1" applyBorder="1"/>
    <xf numFmtId="9" fontId="3" fillId="5" borderId="1" xfId="1" applyFont="1" applyFill="1" applyBorder="1"/>
    <xf numFmtId="0" fontId="0" fillId="0" borderId="1" xfId="0" applyBorder="1"/>
    <xf numFmtId="16" fontId="0" fillId="0" borderId="1" xfId="0" applyNumberFormat="1" applyBorder="1"/>
    <xf numFmtId="9" fontId="2" fillId="6" borderId="1" xfId="1" applyFont="1" applyFill="1" applyBorder="1"/>
    <xf numFmtId="9" fontId="2" fillId="8" borderId="1" xfId="1" applyFont="1" applyFill="1" applyBorder="1"/>
    <xf numFmtId="9" fontId="1" fillId="7" borderId="1" xfId="0" applyNumberFormat="1" applyFont="1" applyFill="1" applyBorder="1"/>
    <xf numFmtId="9" fontId="1" fillId="7" borderId="1" xfId="1" applyFont="1" applyFill="1" applyBorder="1"/>
    <xf numFmtId="9" fontId="1" fillId="8" borderId="1" xfId="1" applyFont="1" applyFill="1" applyBorder="1"/>
    <xf numFmtId="9" fontId="1" fillId="3" borderId="1" xfId="1" applyFont="1" applyFill="1" applyBorder="1"/>
    <xf numFmtId="9" fontId="1" fillId="4" borderId="1" xfId="1" applyFont="1" applyFill="1" applyBorder="1"/>
    <xf numFmtId="0" fontId="1" fillId="4" borderId="4" xfId="0" applyFont="1" applyFill="1" applyBorder="1"/>
    <xf numFmtId="0" fontId="1" fillId="3" borderId="4" xfId="0" applyFont="1" applyFill="1" applyBorder="1"/>
    <xf numFmtId="0" fontId="0" fillId="3" borderId="2" xfId="0" applyFill="1" applyBorder="1"/>
    <xf numFmtId="0" fontId="1" fillId="2" borderId="3" xfId="0" applyFont="1" applyFill="1" applyBorder="1" applyAlignment="1">
      <alignment horizontal="center" vertical="top" wrapText="1"/>
    </xf>
    <xf numFmtId="0" fontId="1" fillId="4" borderId="5" xfId="0" applyFont="1" applyFill="1" applyBorder="1"/>
    <xf numFmtId="0" fontId="1" fillId="2" borderId="3" xfId="0" applyFont="1" applyFill="1" applyBorder="1" applyAlignment="1">
      <alignment horizontal="center" vertical="top"/>
    </xf>
    <xf numFmtId="0" fontId="0" fillId="9" borderId="0" xfId="0" applyFill="1"/>
    <xf numFmtId="0" fontId="1" fillId="9" borderId="0" xfId="0" applyFont="1" applyFill="1"/>
    <xf numFmtId="0" fontId="1" fillId="0" borderId="1" xfId="0" applyFont="1" applyBorder="1"/>
    <xf numFmtId="9" fontId="1" fillId="6" borderId="1" xfId="1" applyFont="1" applyFill="1" applyBorder="1"/>
    <xf numFmtId="9" fontId="2" fillId="6" borderId="1" xfId="0" applyNumberFormat="1" applyFont="1" applyFill="1" applyBorder="1"/>
    <xf numFmtId="9" fontId="2" fillId="7" borderId="1" xfId="1" applyFont="1" applyFill="1" applyBorder="1"/>
    <xf numFmtId="0" fontId="1" fillId="4" borderId="2" xfId="0" applyFont="1" applyFill="1" applyBorder="1"/>
    <xf numFmtId="0" fontId="1" fillId="3" borderId="2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BDFFFF"/>
      <color rgb="FFEB7373"/>
      <color rgb="FFFF6666"/>
      <color rgb="FFFF4242"/>
      <color rgb="FF9E0303"/>
      <color rgb="FF94C8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D1B9-2074-434C-8408-2575E56EFA81}">
  <dimension ref="A1:K34"/>
  <sheetViews>
    <sheetView tabSelected="1" zoomScaleNormal="100" workbookViewId="0">
      <selection activeCell="D33" sqref="D3:D33"/>
    </sheetView>
  </sheetViews>
  <sheetFormatPr defaultColWidth="8.81640625" defaultRowHeight="14.5" x14ac:dyDescent="0.35"/>
  <cols>
    <col min="1" max="1" width="19.7265625" bestFit="1" customWidth="1"/>
    <col min="2" max="2" width="19.453125" bestFit="1" customWidth="1"/>
    <col min="3" max="3" width="20.81640625" bestFit="1" customWidth="1"/>
    <col min="4" max="5" width="25" bestFit="1" customWidth="1"/>
    <col min="6" max="6" width="27" bestFit="1" customWidth="1"/>
    <col min="7" max="7" width="26.81640625" customWidth="1"/>
    <col min="8" max="8" width="16.453125" bestFit="1" customWidth="1"/>
    <col min="9" max="9" width="8.26953125" bestFit="1" customWidth="1"/>
    <col min="10" max="10" width="11.453125" bestFit="1" customWidth="1"/>
    <col min="11" max="11" width="8.7265625" bestFit="1" customWidth="1"/>
  </cols>
  <sheetData>
    <row r="1" spans="1:11" ht="45" customHeight="1" x14ac:dyDescent="0.35">
      <c r="A1" s="22" t="s">
        <v>0</v>
      </c>
      <c r="B1" s="2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8" t="s">
        <v>11</v>
      </c>
      <c r="B2" s="18"/>
      <c r="C2" s="19"/>
      <c r="D2" s="3"/>
      <c r="E2" s="3"/>
      <c r="F2" s="3"/>
      <c r="G2" s="4"/>
      <c r="H2" s="3"/>
      <c r="I2" s="8"/>
      <c r="J2" s="8"/>
      <c r="K2" s="8"/>
    </row>
    <row r="3" spans="1:11" x14ac:dyDescent="0.35">
      <c r="A3" s="23"/>
      <c r="B3" s="21" t="s">
        <v>11</v>
      </c>
      <c r="C3" s="29">
        <v>44</v>
      </c>
      <c r="D3" s="5">
        <v>43</v>
      </c>
      <c r="E3" s="26">
        <f>D3/C3</f>
        <v>0.97727272727272729</v>
      </c>
      <c r="F3" s="5">
        <v>42</v>
      </c>
      <c r="G3" s="10">
        <f>(F3/D3)</f>
        <v>0.97674418604651159</v>
      </c>
      <c r="H3" s="3" t="s">
        <v>12</v>
      </c>
      <c r="I3" s="8"/>
      <c r="J3" s="9">
        <v>45601</v>
      </c>
      <c r="K3" s="8"/>
    </row>
    <row r="4" spans="1:11" x14ac:dyDescent="0.35">
      <c r="A4" s="23"/>
      <c r="B4" s="21" t="s">
        <v>13</v>
      </c>
      <c r="C4" s="29">
        <v>6</v>
      </c>
      <c r="D4" s="5">
        <v>0</v>
      </c>
      <c r="E4" s="14">
        <f>(D4/C4)</f>
        <v>0</v>
      </c>
      <c r="F4" s="5">
        <v>0</v>
      </c>
      <c r="G4" s="11">
        <v>0</v>
      </c>
      <c r="H4" s="3"/>
      <c r="I4" s="8"/>
      <c r="J4" s="9"/>
      <c r="K4" s="8"/>
    </row>
    <row r="5" spans="1:11" x14ac:dyDescent="0.35">
      <c r="A5" s="24"/>
      <c r="B5" s="17" t="s">
        <v>14</v>
      </c>
      <c r="C5" s="29">
        <v>5</v>
      </c>
      <c r="D5" s="5">
        <v>0</v>
      </c>
      <c r="E5" s="14">
        <f>(D5/C5)</f>
        <v>0</v>
      </c>
      <c r="F5" s="5">
        <v>0</v>
      </c>
      <c r="G5" s="11">
        <v>0</v>
      </c>
      <c r="H5" s="3"/>
      <c r="I5" s="8"/>
      <c r="J5" s="8"/>
      <c r="K5" s="8"/>
    </row>
    <row r="6" spans="1:11" x14ac:dyDescent="0.35">
      <c r="A6" s="18" t="s">
        <v>15</v>
      </c>
      <c r="B6" s="18"/>
      <c r="C6" s="30"/>
      <c r="D6" s="2"/>
      <c r="E6" s="3"/>
      <c r="F6" s="2"/>
      <c r="G6" s="4"/>
      <c r="H6" s="3"/>
      <c r="I6" s="8"/>
      <c r="J6" s="8"/>
      <c r="K6" s="8"/>
    </row>
    <row r="7" spans="1:11" x14ac:dyDescent="0.35">
      <c r="A7" s="23"/>
      <c r="B7" s="21" t="s">
        <v>15</v>
      </c>
      <c r="C7" s="29">
        <v>50</v>
      </c>
      <c r="D7" s="5">
        <v>49</v>
      </c>
      <c r="E7" s="26">
        <f>(D7/C7)</f>
        <v>0.98</v>
      </c>
      <c r="F7" s="5">
        <v>49</v>
      </c>
      <c r="G7" s="10">
        <f>(F7/D7)</f>
        <v>1</v>
      </c>
      <c r="H7" s="3" t="s">
        <v>16</v>
      </c>
      <c r="I7" s="8"/>
      <c r="J7" s="9"/>
      <c r="K7" s="8"/>
    </row>
    <row r="8" spans="1:11" x14ac:dyDescent="0.35">
      <c r="A8" s="24"/>
      <c r="B8" s="17" t="s">
        <v>13</v>
      </c>
      <c r="C8" s="29">
        <v>11</v>
      </c>
      <c r="D8" s="5">
        <v>0</v>
      </c>
      <c r="E8" s="14">
        <f>(D8/C8)</f>
        <v>0</v>
      </c>
      <c r="F8" s="5">
        <v>0</v>
      </c>
      <c r="G8" s="11">
        <v>0</v>
      </c>
      <c r="H8" s="3"/>
      <c r="I8" s="8"/>
      <c r="J8" s="8"/>
      <c r="K8" s="8"/>
    </row>
    <row r="9" spans="1:11" x14ac:dyDescent="0.35">
      <c r="A9" s="18" t="s">
        <v>17</v>
      </c>
      <c r="B9" s="18"/>
      <c r="C9" s="30"/>
      <c r="D9" s="2"/>
      <c r="E9" s="3"/>
      <c r="F9" s="2"/>
      <c r="G9" s="4"/>
      <c r="H9" s="3"/>
      <c r="I9" s="8"/>
      <c r="J9" s="9"/>
      <c r="K9" s="8"/>
    </row>
    <row r="10" spans="1:11" x14ac:dyDescent="0.35">
      <c r="A10" s="23"/>
      <c r="B10" s="21" t="s">
        <v>17</v>
      </c>
      <c r="C10" s="29">
        <v>23</v>
      </c>
      <c r="D10" s="5">
        <v>22</v>
      </c>
      <c r="E10" s="26">
        <f t="shared" ref="E10:E17" si="0">(D10/C10)</f>
        <v>0.95652173913043481</v>
      </c>
      <c r="F10" s="5">
        <v>22</v>
      </c>
      <c r="G10" s="10">
        <f>(F10/D10)</f>
        <v>1</v>
      </c>
      <c r="H10" s="3" t="s">
        <v>18</v>
      </c>
      <c r="I10" s="8"/>
      <c r="J10" s="9"/>
      <c r="K10" s="8"/>
    </row>
    <row r="11" spans="1:11" x14ac:dyDescent="0.35">
      <c r="A11" s="24"/>
      <c r="B11" s="17" t="s">
        <v>13</v>
      </c>
      <c r="C11" s="29">
        <v>7</v>
      </c>
      <c r="D11" s="5">
        <v>0</v>
      </c>
      <c r="E11" s="14">
        <f t="shared" si="0"/>
        <v>0</v>
      </c>
      <c r="F11" s="5">
        <v>0</v>
      </c>
      <c r="G11" s="11">
        <v>0</v>
      </c>
      <c r="H11" s="3"/>
      <c r="I11" s="8"/>
      <c r="J11" s="8"/>
      <c r="K11" s="8"/>
    </row>
    <row r="12" spans="1:11" ht="20.25" customHeight="1" x14ac:dyDescent="0.35">
      <c r="A12" s="18" t="s">
        <v>19</v>
      </c>
      <c r="B12" s="2"/>
      <c r="C12" s="2">
        <v>26</v>
      </c>
      <c r="D12" s="2">
        <v>26</v>
      </c>
      <c r="E12" s="26">
        <f t="shared" si="0"/>
        <v>1</v>
      </c>
      <c r="F12" s="2">
        <v>26</v>
      </c>
      <c r="G12" s="10">
        <f t="shared" ref="G12:G23" si="1">(F12/D12)</f>
        <v>1</v>
      </c>
      <c r="H12" s="3" t="s">
        <v>20</v>
      </c>
      <c r="I12" s="8"/>
      <c r="J12" s="9"/>
      <c r="K12" s="8"/>
    </row>
    <row r="13" spans="1:11" x14ac:dyDescent="0.35">
      <c r="A13" s="18" t="s">
        <v>21</v>
      </c>
      <c r="B13" s="2"/>
      <c r="C13" s="2">
        <v>34</v>
      </c>
      <c r="D13" s="2">
        <v>34</v>
      </c>
      <c r="E13" s="26">
        <f t="shared" si="0"/>
        <v>1</v>
      </c>
      <c r="F13" s="2">
        <v>34</v>
      </c>
      <c r="G13" s="10">
        <f t="shared" si="1"/>
        <v>1</v>
      </c>
      <c r="H13" s="3" t="s">
        <v>22</v>
      </c>
      <c r="I13" s="8"/>
      <c r="J13" s="9"/>
      <c r="K13" s="8"/>
    </row>
    <row r="14" spans="1:11" x14ac:dyDescent="0.35">
      <c r="A14" s="18" t="s">
        <v>23</v>
      </c>
      <c r="B14" s="2"/>
      <c r="C14" s="2">
        <v>22</v>
      </c>
      <c r="D14" s="2">
        <v>22</v>
      </c>
      <c r="E14" s="26">
        <f t="shared" si="0"/>
        <v>1</v>
      </c>
      <c r="F14" s="2">
        <v>22</v>
      </c>
      <c r="G14" s="10">
        <f t="shared" si="1"/>
        <v>1</v>
      </c>
      <c r="H14" s="3" t="s">
        <v>16</v>
      </c>
      <c r="I14" s="8"/>
      <c r="J14" s="8"/>
      <c r="K14" s="8"/>
    </row>
    <row r="15" spans="1:11" x14ac:dyDescent="0.35">
      <c r="A15" s="2" t="s">
        <v>24</v>
      </c>
      <c r="B15" s="2"/>
      <c r="C15" s="2">
        <v>14</v>
      </c>
      <c r="D15" s="2">
        <v>14</v>
      </c>
      <c r="E15" s="26">
        <f t="shared" si="0"/>
        <v>1</v>
      </c>
      <c r="F15" s="2">
        <v>14</v>
      </c>
      <c r="G15" s="10">
        <f t="shared" si="1"/>
        <v>1</v>
      </c>
      <c r="H15" s="3" t="s">
        <v>25</v>
      </c>
      <c r="I15" s="8"/>
      <c r="J15" s="9"/>
      <c r="K15" s="8"/>
    </row>
    <row r="16" spans="1:11" ht="21" customHeight="1" x14ac:dyDescent="0.35">
      <c r="A16" s="18" t="s">
        <v>26</v>
      </c>
      <c r="B16" s="2"/>
      <c r="C16" s="2">
        <v>25</v>
      </c>
      <c r="D16" s="2">
        <v>25</v>
      </c>
      <c r="E16" s="26">
        <f t="shared" si="0"/>
        <v>1</v>
      </c>
      <c r="F16" s="2">
        <v>25</v>
      </c>
      <c r="G16" s="10">
        <f t="shared" si="1"/>
        <v>1</v>
      </c>
      <c r="H16" s="3" t="s">
        <v>20</v>
      </c>
      <c r="I16" s="8"/>
      <c r="J16" s="9"/>
      <c r="K16" s="8"/>
    </row>
    <row r="17" spans="1:11" x14ac:dyDescent="0.35">
      <c r="A17" s="2" t="s">
        <v>27</v>
      </c>
      <c r="B17" s="2"/>
      <c r="C17" s="2">
        <v>21</v>
      </c>
      <c r="D17" s="2">
        <v>21</v>
      </c>
      <c r="E17" s="26">
        <f t="shared" si="0"/>
        <v>1</v>
      </c>
      <c r="F17" s="2">
        <v>21</v>
      </c>
      <c r="G17" s="10">
        <f t="shared" si="1"/>
        <v>1</v>
      </c>
      <c r="H17" s="3" t="s">
        <v>25</v>
      </c>
      <c r="I17" s="8"/>
      <c r="J17" s="8"/>
      <c r="K17" s="8"/>
    </row>
    <row r="18" spans="1:11" x14ac:dyDescent="0.35">
      <c r="A18" s="2" t="s">
        <v>28</v>
      </c>
      <c r="B18" s="2"/>
      <c r="C18" s="2">
        <v>7</v>
      </c>
      <c r="D18" s="2">
        <v>7</v>
      </c>
      <c r="E18" s="26">
        <f>D18/C18</f>
        <v>1</v>
      </c>
      <c r="F18" s="2">
        <v>7</v>
      </c>
      <c r="G18" s="10">
        <f t="shared" si="1"/>
        <v>1</v>
      </c>
      <c r="H18" s="3" t="s">
        <v>20</v>
      </c>
      <c r="I18" s="8"/>
      <c r="J18" s="8"/>
      <c r="K18" s="8"/>
    </row>
    <row r="19" spans="1:11" x14ac:dyDescent="0.35">
      <c r="A19" s="18" t="s">
        <v>29</v>
      </c>
      <c r="B19" s="2"/>
      <c r="C19" s="2">
        <v>14</v>
      </c>
      <c r="D19" s="2">
        <v>11</v>
      </c>
      <c r="E19" s="26">
        <f>(D19/C19)</f>
        <v>0.7857142857142857</v>
      </c>
      <c r="F19" s="2">
        <v>11</v>
      </c>
      <c r="G19" s="10">
        <f t="shared" si="1"/>
        <v>1</v>
      </c>
      <c r="H19" s="3" t="s">
        <v>18</v>
      </c>
      <c r="I19" s="8"/>
      <c r="J19" s="9"/>
      <c r="K19" s="8"/>
    </row>
    <row r="20" spans="1:11" x14ac:dyDescent="0.35">
      <c r="A20" s="18" t="s">
        <v>30</v>
      </c>
      <c r="B20" s="2"/>
      <c r="C20" s="2">
        <v>26</v>
      </c>
      <c r="D20" s="2">
        <v>23</v>
      </c>
      <c r="E20" s="26">
        <f>(D20/C20)</f>
        <v>0.88461538461538458</v>
      </c>
      <c r="F20" s="2">
        <v>23</v>
      </c>
      <c r="G20" s="10">
        <f t="shared" si="1"/>
        <v>1</v>
      </c>
      <c r="H20" s="3" t="s">
        <v>25</v>
      </c>
      <c r="I20" s="8"/>
      <c r="J20" s="8"/>
      <c r="K20" s="8"/>
    </row>
    <row r="21" spans="1:11" x14ac:dyDescent="0.35">
      <c r="A21" s="2" t="s">
        <v>31</v>
      </c>
      <c r="B21" s="2"/>
      <c r="C21" s="2">
        <v>13</v>
      </c>
      <c r="D21" s="2">
        <v>9</v>
      </c>
      <c r="E21" s="13">
        <f>(D21/C21)</f>
        <v>0.69230769230769229</v>
      </c>
      <c r="F21" s="2">
        <v>9</v>
      </c>
      <c r="G21" s="10">
        <f t="shared" si="1"/>
        <v>1</v>
      </c>
      <c r="H21" s="3" t="s">
        <v>16</v>
      </c>
      <c r="I21" s="8"/>
      <c r="J21" s="9"/>
      <c r="K21" s="8"/>
    </row>
    <row r="22" spans="1:11" x14ac:dyDescent="0.35">
      <c r="A22" s="2" t="s">
        <v>32</v>
      </c>
      <c r="B22" s="2"/>
      <c r="C22" s="2">
        <v>24</v>
      </c>
      <c r="D22" s="2">
        <v>13</v>
      </c>
      <c r="E22" s="14">
        <f>(D22/C22)</f>
        <v>0.54166666666666663</v>
      </c>
      <c r="F22" s="2">
        <v>13</v>
      </c>
      <c r="G22" s="10">
        <f t="shared" si="1"/>
        <v>1</v>
      </c>
      <c r="H22" s="3" t="s">
        <v>18</v>
      </c>
      <c r="I22" s="8"/>
      <c r="J22" s="8"/>
      <c r="K22" s="8"/>
    </row>
    <row r="23" spans="1:11" x14ac:dyDescent="0.35">
      <c r="A23" s="2" t="s">
        <v>33</v>
      </c>
      <c r="B23" s="2"/>
      <c r="C23" s="2">
        <v>20</v>
      </c>
      <c r="D23" s="2">
        <v>12</v>
      </c>
      <c r="E23" s="13">
        <f>(D23/C23)</f>
        <v>0.6</v>
      </c>
      <c r="F23" s="2">
        <v>12</v>
      </c>
      <c r="G23" s="28">
        <f t="shared" si="1"/>
        <v>1</v>
      </c>
      <c r="H23" s="3" t="s">
        <v>34</v>
      </c>
      <c r="I23" s="8"/>
      <c r="J23" s="8"/>
      <c r="K23" s="8"/>
    </row>
    <row r="24" spans="1:11" x14ac:dyDescent="0.35">
      <c r="A24" s="18" t="s">
        <v>35</v>
      </c>
      <c r="B24" s="2"/>
      <c r="C24" s="2">
        <v>12</v>
      </c>
      <c r="D24" s="2">
        <v>12</v>
      </c>
      <c r="E24" s="26">
        <v>1</v>
      </c>
      <c r="F24" s="2"/>
      <c r="G24" s="10">
        <v>1</v>
      </c>
      <c r="H24" s="3"/>
      <c r="I24" s="8"/>
      <c r="J24" s="8"/>
      <c r="K24" s="8"/>
    </row>
    <row r="25" spans="1:11" x14ac:dyDescent="0.35">
      <c r="A25" s="2" t="s">
        <v>36</v>
      </c>
      <c r="B25" s="2"/>
      <c r="C25" s="2"/>
      <c r="D25" s="2"/>
      <c r="E25" s="15"/>
      <c r="F25" s="2"/>
      <c r="G25" s="4"/>
      <c r="H25" s="3"/>
      <c r="I25" s="8"/>
      <c r="J25" s="8"/>
      <c r="K25" s="8"/>
    </row>
    <row r="26" spans="1:11" x14ac:dyDescent="0.35">
      <c r="A26" s="25"/>
      <c r="B26" s="5" t="s">
        <v>36</v>
      </c>
      <c r="C26" s="5">
        <v>28</v>
      </c>
      <c r="D26" s="5">
        <v>24</v>
      </c>
      <c r="E26" s="26">
        <f>(D26/C26)</f>
        <v>0.8571428571428571</v>
      </c>
      <c r="F26" s="5">
        <v>24</v>
      </c>
      <c r="G26" s="27">
        <f>(F26/D26)</f>
        <v>1</v>
      </c>
      <c r="H26" s="3" t="s">
        <v>37</v>
      </c>
      <c r="I26" s="8"/>
      <c r="J26" s="8"/>
      <c r="K26" s="8"/>
    </row>
    <row r="27" spans="1:11" x14ac:dyDescent="0.35">
      <c r="A27" s="25"/>
      <c r="B27" s="5" t="s">
        <v>13</v>
      </c>
      <c r="C27" s="5">
        <v>8</v>
      </c>
      <c r="D27" s="5">
        <v>0</v>
      </c>
      <c r="E27" s="14">
        <f>(D27/C27)</f>
        <v>0</v>
      </c>
      <c r="F27" s="5">
        <v>0</v>
      </c>
      <c r="G27" s="11">
        <v>0</v>
      </c>
      <c r="H27" s="3"/>
      <c r="I27" s="8"/>
      <c r="J27" s="8"/>
      <c r="K27" s="8"/>
    </row>
    <row r="28" spans="1:11" x14ac:dyDescent="0.35">
      <c r="A28" s="25"/>
      <c r="B28" s="5" t="s">
        <v>38</v>
      </c>
      <c r="C28" s="5">
        <v>4</v>
      </c>
      <c r="D28" s="5">
        <v>1</v>
      </c>
      <c r="E28" s="14">
        <f>(D28/C28)</f>
        <v>0.25</v>
      </c>
      <c r="F28" s="5">
        <v>1</v>
      </c>
      <c r="G28" s="10">
        <f>(F28/D28)</f>
        <v>1</v>
      </c>
      <c r="H28" s="3" t="s">
        <v>18</v>
      </c>
      <c r="I28" s="8"/>
      <c r="J28" s="8"/>
      <c r="K28" s="8"/>
    </row>
    <row r="29" spans="1:11" x14ac:dyDescent="0.35">
      <c r="A29" s="2" t="s">
        <v>39</v>
      </c>
      <c r="B29" s="2"/>
      <c r="C29" s="2"/>
      <c r="D29" s="2"/>
      <c r="E29" s="15"/>
      <c r="F29" s="5"/>
      <c r="G29" s="4"/>
      <c r="H29" s="3"/>
      <c r="I29" s="8"/>
      <c r="J29" s="8"/>
      <c r="K29" s="8"/>
    </row>
    <row r="30" spans="1:11" x14ac:dyDescent="0.35">
      <c r="A30" s="25"/>
      <c r="B30" s="5" t="s">
        <v>40</v>
      </c>
      <c r="C30" s="5">
        <v>15</v>
      </c>
      <c r="D30" s="5">
        <v>9</v>
      </c>
      <c r="E30" s="13">
        <f>(D30/C30)</f>
        <v>0.6</v>
      </c>
      <c r="F30" s="5">
        <v>9</v>
      </c>
      <c r="G30" s="27">
        <f>(F30/D30)</f>
        <v>1</v>
      </c>
      <c r="H30" s="3" t="s">
        <v>20</v>
      </c>
      <c r="I30" s="8"/>
      <c r="J30" s="8"/>
      <c r="K30" s="8"/>
    </row>
    <row r="31" spans="1:11" x14ac:dyDescent="0.35">
      <c r="A31" s="25"/>
      <c r="B31" s="5" t="s">
        <v>41</v>
      </c>
      <c r="C31" s="5">
        <v>15</v>
      </c>
      <c r="D31" s="5">
        <v>9</v>
      </c>
      <c r="E31" s="13">
        <f>(D31/C31)</f>
        <v>0.6</v>
      </c>
      <c r="F31" s="5">
        <v>9</v>
      </c>
      <c r="G31" s="27">
        <f>(F31/D31)</f>
        <v>1</v>
      </c>
      <c r="H31" s="3" t="s">
        <v>20</v>
      </c>
      <c r="I31" s="8"/>
      <c r="J31" s="8"/>
      <c r="K31" s="8"/>
    </row>
    <row r="32" spans="1:11" x14ac:dyDescent="0.35">
      <c r="A32" s="25"/>
      <c r="B32" s="5" t="s">
        <v>42</v>
      </c>
      <c r="C32" s="5">
        <v>19</v>
      </c>
      <c r="D32" s="5">
        <v>11</v>
      </c>
      <c r="E32" s="13">
        <f>(D32/C32)</f>
        <v>0.57894736842105265</v>
      </c>
      <c r="F32" s="5">
        <v>11</v>
      </c>
      <c r="G32" s="27">
        <f>(F32/D32)</f>
        <v>1</v>
      </c>
      <c r="H32" s="3" t="s">
        <v>20</v>
      </c>
      <c r="I32" s="8"/>
      <c r="J32" s="8"/>
      <c r="K32" s="8"/>
    </row>
    <row r="33" spans="1:11" x14ac:dyDescent="0.35">
      <c r="A33" s="25"/>
      <c r="B33" s="5" t="s">
        <v>43</v>
      </c>
      <c r="C33" s="5">
        <v>2</v>
      </c>
      <c r="D33" s="5">
        <v>1</v>
      </c>
      <c r="E33" s="16">
        <f>(D33/C33)</f>
        <v>0.5</v>
      </c>
      <c r="F33" s="5">
        <v>1</v>
      </c>
      <c r="G33" s="27">
        <f>(F33/D33)</f>
        <v>1</v>
      </c>
      <c r="H33" s="3" t="s">
        <v>20</v>
      </c>
      <c r="I33" s="8"/>
      <c r="J33" s="8"/>
      <c r="K33" s="8"/>
    </row>
    <row r="34" spans="1:11" x14ac:dyDescent="0.35">
      <c r="A34" s="6" t="s">
        <v>44</v>
      </c>
      <c r="B34" s="6"/>
      <c r="C34" s="6">
        <f>SUM(C2:C33)</f>
        <v>495</v>
      </c>
      <c r="D34" s="6">
        <f>SUM(D2:D33)</f>
        <v>398</v>
      </c>
      <c r="E34" s="7">
        <f>D34/C34</f>
        <v>0.804040404040404</v>
      </c>
      <c r="F34" s="6">
        <f>SUM(F2:F33)</f>
        <v>385</v>
      </c>
      <c r="G34" s="7">
        <f>(F34/D34)</f>
        <v>0.96733668341708545</v>
      </c>
      <c r="H34" s="6"/>
      <c r="I34" s="8"/>
      <c r="J34" s="8"/>
      <c r="K34" s="8"/>
    </row>
  </sheetData>
  <autoFilter ref="A1:K33" xr:uid="{FD27D1B9-2074-434C-8408-2575E56EFA8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59C79-18CC-409E-B931-3B9769FA1F8E}">
  <dimension ref="A1:N24"/>
  <sheetViews>
    <sheetView workbookViewId="0">
      <selection activeCell="Q22" sqref="Q22"/>
    </sheetView>
  </sheetViews>
  <sheetFormatPr defaultColWidth="8.81640625" defaultRowHeight="14.5" x14ac:dyDescent="0.35"/>
  <cols>
    <col min="1" max="1" width="14.81640625" customWidth="1"/>
    <col min="2" max="2" width="12.7265625" customWidth="1"/>
    <col min="3" max="3" width="17.26953125" customWidth="1"/>
    <col min="4" max="4" width="23.453125" customWidth="1"/>
    <col min="5" max="5" width="19.453125" customWidth="1"/>
    <col min="6" max="6" width="16.453125" customWidth="1"/>
    <col min="7" max="7" width="11.7265625" customWidth="1"/>
    <col min="8" max="8" width="14.453125" customWidth="1"/>
    <col min="9" max="9" width="7.7265625" customWidth="1"/>
  </cols>
  <sheetData>
    <row r="1" spans="1:11" ht="48" customHeight="1" x14ac:dyDescent="0.35">
      <c r="A1" s="20" t="s">
        <v>0</v>
      </c>
      <c r="B1" s="2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45</v>
      </c>
      <c r="B2" s="2"/>
      <c r="C2" s="3">
        <v>37</v>
      </c>
      <c r="D2" s="3">
        <v>25</v>
      </c>
      <c r="E2" s="12">
        <f>D2/C2</f>
        <v>0.67567567567567566</v>
      </c>
      <c r="F2" s="3">
        <v>25</v>
      </c>
      <c r="G2" s="12">
        <f>F2/D2</f>
        <v>1</v>
      </c>
      <c r="H2" s="3" t="s">
        <v>46</v>
      </c>
      <c r="I2" s="8"/>
      <c r="J2" s="8"/>
      <c r="K2" s="8"/>
    </row>
    <row r="21" spans="13:14" x14ac:dyDescent="0.35">
      <c r="M21">
        <v>398</v>
      </c>
      <c r="N21">
        <v>340</v>
      </c>
    </row>
    <row r="22" spans="13:14" x14ac:dyDescent="0.35">
      <c r="M22">
        <v>25</v>
      </c>
      <c r="N22">
        <v>25</v>
      </c>
    </row>
    <row r="24" spans="13:14" x14ac:dyDescent="0.35">
      <c r="M24">
        <f>SUM(M21:M22)</f>
        <v>423</v>
      </c>
      <c r="N24">
        <f>SUM(N21:N22)</f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CFA</vt:lpstr>
      <vt:lpstr>MetricManager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Srikanth Turpu (Contractor)</dc:creator>
  <cp:keywords/>
  <dc:description/>
  <cp:lastModifiedBy>Srikanth Turpu [C]</cp:lastModifiedBy>
  <cp:revision/>
  <dcterms:created xsi:type="dcterms:W3CDTF">2024-09-25T16:22:42Z</dcterms:created>
  <dcterms:modified xsi:type="dcterms:W3CDTF">2026-04-28T13:32:45Z</dcterms:modified>
  <cp:category/>
  <cp:contentStatus/>
</cp:coreProperties>
</file>
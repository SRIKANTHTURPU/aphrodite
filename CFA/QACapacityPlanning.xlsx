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rtemis_Workspace\aphrodite\"/>
    </mc:Choice>
  </mc:AlternateContent>
  <xr:revisionPtr revIDLastSave="0" documentId="13_ncr:1_{15859EDB-B743-4EDE-9D64-F6AC7D30C078}" xr6:coauthVersionLast="47" xr6:coauthVersionMax="47" xr10:uidLastSave="{00000000-0000-0000-0000-000000000000}"/>
  <bookViews>
    <workbookView xWindow="-110" yWindow="-110" windowWidth="19420" windowHeight="11620" xr2:uid="{99005B1A-73A9-4E56-AA5B-624AF91F7749}"/>
  </bookViews>
  <sheets>
    <sheet name="CFA_Sprint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6" l="1"/>
  <c r="I17" i="6" s="1"/>
  <c r="K17" i="6" s="1"/>
  <c r="D17" i="6"/>
  <c r="F16" i="6"/>
  <c r="I16" i="6" s="1"/>
  <c r="K16" i="6" s="1"/>
  <c r="D16" i="6"/>
  <c r="F15" i="6"/>
  <c r="I15" i="6" s="1"/>
  <c r="K15" i="6" s="1"/>
  <c r="D15" i="6"/>
</calcChain>
</file>

<file path=xl/sharedStrings.xml><?xml version="1.0" encoding="utf-8"?>
<sst xmlns="http://schemas.openxmlformats.org/spreadsheetml/2006/main" count="46" uniqueCount="38">
  <si>
    <t>Start Date</t>
  </si>
  <si>
    <t>End Date</t>
  </si>
  <si>
    <t>Meeting Type</t>
  </si>
  <si>
    <t>No.Of Days</t>
  </si>
  <si>
    <t>Duration</t>
  </si>
  <si>
    <t>Total Hours</t>
  </si>
  <si>
    <t>Sprint-1</t>
  </si>
  <si>
    <t>1-Holiday</t>
  </si>
  <si>
    <t>VL Standup(Weekly Twice)(Mor)</t>
  </si>
  <si>
    <t>04-Days</t>
  </si>
  <si>
    <t>15-Mins</t>
  </si>
  <si>
    <t>1-Hour</t>
  </si>
  <si>
    <t>2.5 -Hours</t>
  </si>
  <si>
    <t>CFA Standup (Daily)</t>
  </si>
  <si>
    <t>10-Days</t>
  </si>
  <si>
    <t>CFA Sprint Planning &amp; Refinement</t>
  </si>
  <si>
    <t>01-Days</t>
  </si>
  <si>
    <t>2-Hours</t>
  </si>
  <si>
    <t>CFA Retro</t>
  </si>
  <si>
    <t>Unexpected Meetings</t>
  </si>
  <si>
    <t>1-Sprint</t>
  </si>
  <si>
    <t>2-Weeks</t>
  </si>
  <si>
    <t>1-Story Point</t>
  </si>
  <si>
    <t>4-Hours</t>
  </si>
  <si>
    <t>Total Working Days</t>
  </si>
  <si>
    <t>Total SP</t>
  </si>
  <si>
    <t>Leaves</t>
  </si>
  <si>
    <t>Working Hours</t>
  </si>
  <si>
    <t>Meetings(Hrs)</t>
  </si>
  <si>
    <t>Available (Hrs)</t>
  </si>
  <si>
    <t>Available SP</t>
  </si>
  <si>
    <t>Srikanth</t>
  </si>
  <si>
    <t>Subha</t>
  </si>
  <si>
    <t>Abhi</t>
  </si>
  <si>
    <t>7.5-Hours</t>
  </si>
  <si>
    <t>2 SP</t>
  </si>
  <si>
    <t>Expecting Utilize SP</t>
  </si>
  <si>
    <t>Balance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</si>
</sst>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1" fillId="7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0" borderId="16" xfId="0" applyFont="1" applyBorder="1"/>
    <xf numFmtId="0" fontId="3" fillId="6" borderId="1" xfId="0" applyFont="1" applyFill="1" applyBorder="1"/>
    <xf numFmtId="0" fontId="1" fillId="0" borderId="17" xfId="0" applyFont="1" applyBorder="1"/>
    <xf numFmtId="0" fontId="0" fillId="0" borderId="17" xfId="0" applyBorder="1"/>
    <xf numFmtId="0" fontId="3" fillId="6" borderId="1" xfId="0" applyFont="1" applyFill="1" applyBorder="1" applyAlignment="1">
      <alignment wrapText="1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/>
    </xf>
    <xf numFmtId="0" fontId="5" fillId="9" borderId="17" xfId="0" applyFont="1" applyFill="1" applyBorder="1" applyAlignment="1">
      <alignment horizontal="center"/>
    </xf>
    <xf numFmtId="0" fontId="5" fillId="9" borderId="13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0" borderId="17" xfId="0" applyBorder="1" applyAlignment="1">
      <alignment horizontal="right"/>
    </xf>
    <xf numFmtId="0" fontId="1" fillId="0" borderId="17" xfId="0" applyFont="1" applyBorder="1" applyAlignment="1">
      <alignment horizontal="right"/>
    </xf>
    <xf numFmtId="0" fontId="0" fillId="3" borderId="2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left"/>
    </xf>
    <xf numFmtId="0" fontId="3" fillId="5" borderId="6" xfId="0" applyFont="1" applyFill="1" applyBorder="1" applyAlignment="1">
      <alignment horizontal="left"/>
    </xf>
    <xf numFmtId="0" fontId="3" fillId="5" borderId="9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16" fontId="1" fillId="7" borderId="2" xfId="0" applyNumberFormat="1" applyFont="1" applyFill="1" applyBorder="1" applyAlignment="1">
      <alignment horizontal="center"/>
    </xf>
    <xf numFmtId="16" fontId="1" fillId="7" borderId="11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left" vertical="center"/>
    </xf>
    <xf numFmtId="0" fontId="0" fillId="3" borderId="18" xfId="0" applyFill="1" applyBorder="1" applyAlignment="1">
      <alignment horizontal="left" vertical="center"/>
    </xf>
    <xf numFmtId="16" fontId="0" fillId="7" borderId="2" xfId="0" applyNumberFormat="1" applyFill="1" applyBorder="1" applyAlignment="1">
      <alignment horizontal="center"/>
    </xf>
    <xf numFmtId="16" fontId="0" fillId="7" borderId="11" xfId="0" applyNumberForma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BAC3-8290-4DCB-AD36-3F8DCE14B8C8}">
  <dimension ref="A1:R36"/>
  <sheetViews>
    <sheetView tabSelected="1" workbookViewId="0">
      <selection activeCell="R18" sqref="R18"/>
    </sheetView>
  </sheetViews>
  <sheetFormatPr defaultRowHeight="14.5" x14ac:dyDescent="0.35"/>
  <cols>
    <col min="8" max="8" width="14.1796875" customWidth="1"/>
    <col min="12" max="12" width="9.81640625" bestFit="1" customWidth="1"/>
    <col min="13" max="13" width="7.81640625" bestFit="1" customWidth="1"/>
    <col min="14" max="14" width="10.54296875" bestFit="1" customWidth="1"/>
    <col min="15" max="15" width="10.26953125" customWidth="1"/>
  </cols>
  <sheetData>
    <row r="1" spans="1:18" ht="16" x14ac:dyDescent="0.35">
      <c r="A1" s="6"/>
      <c r="B1" s="48" t="s">
        <v>0</v>
      </c>
      <c r="C1" s="49"/>
      <c r="D1" s="48" t="s">
        <v>1</v>
      </c>
      <c r="E1" s="49"/>
      <c r="F1" s="48"/>
      <c r="G1" s="49"/>
      <c r="J1" s="41" t="s">
        <v>2</v>
      </c>
      <c r="K1" s="42"/>
      <c r="L1" s="50"/>
      <c r="M1" s="41" t="s">
        <v>3</v>
      </c>
      <c r="N1" s="42"/>
      <c r="O1" s="7" t="s">
        <v>4</v>
      </c>
      <c r="P1" s="43" t="s">
        <v>5</v>
      </c>
      <c r="Q1" s="43"/>
    </row>
    <row r="2" spans="1:18" ht="16" x14ac:dyDescent="0.4">
      <c r="A2" s="5" t="s">
        <v>6</v>
      </c>
      <c r="B2" s="39">
        <v>46029</v>
      </c>
      <c r="C2" s="40"/>
      <c r="D2" s="39">
        <v>46042</v>
      </c>
      <c r="E2" s="40"/>
      <c r="F2" s="39" t="s">
        <v>7</v>
      </c>
      <c r="G2" s="40"/>
      <c r="J2" s="24" t="s">
        <v>8</v>
      </c>
      <c r="K2" s="25"/>
      <c r="L2" s="26"/>
      <c r="M2" s="27" t="s">
        <v>9</v>
      </c>
      <c r="N2" s="28"/>
      <c r="O2" s="10" t="s">
        <v>10</v>
      </c>
      <c r="P2" s="44" t="s">
        <v>11</v>
      </c>
      <c r="Q2" s="45"/>
    </row>
    <row r="3" spans="1:18" ht="16" x14ac:dyDescent="0.4">
      <c r="A3" s="5"/>
      <c r="B3" s="39"/>
      <c r="C3" s="40"/>
      <c r="D3" s="39"/>
      <c r="E3" s="40"/>
      <c r="F3" s="39"/>
      <c r="G3" s="40"/>
      <c r="J3" s="24" t="s">
        <v>13</v>
      </c>
      <c r="K3" s="25"/>
      <c r="L3" s="26"/>
      <c r="M3" s="27" t="s">
        <v>14</v>
      </c>
      <c r="N3" s="28"/>
      <c r="O3" s="3" t="s">
        <v>10</v>
      </c>
      <c r="P3" s="24" t="s">
        <v>12</v>
      </c>
      <c r="Q3" s="26"/>
    </row>
    <row r="4" spans="1:18" ht="15.75" customHeight="1" x14ac:dyDescent="0.4">
      <c r="A4" s="5"/>
      <c r="B4" s="39"/>
      <c r="C4" s="40"/>
      <c r="D4" s="39"/>
      <c r="E4" s="40"/>
      <c r="F4" s="39"/>
      <c r="G4" s="40"/>
      <c r="J4" s="24" t="s">
        <v>15</v>
      </c>
      <c r="K4" s="25"/>
      <c r="L4" s="26"/>
      <c r="M4" s="27" t="s">
        <v>16</v>
      </c>
      <c r="N4" s="28"/>
      <c r="O4" s="4" t="s">
        <v>17</v>
      </c>
      <c r="P4" s="24" t="s">
        <v>17</v>
      </c>
      <c r="Q4" s="26"/>
    </row>
    <row r="5" spans="1:18" ht="15.75" customHeight="1" x14ac:dyDescent="0.4">
      <c r="A5" s="5"/>
      <c r="B5" s="46"/>
      <c r="C5" s="47"/>
      <c r="D5" s="39"/>
      <c r="E5" s="40"/>
      <c r="F5" s="39"/>
      <c r="G5" s="40"/>
      <c r="J5" s="24" t="s">
        <v>18</v>
      </c>
      <c r="K5" s="25"/>
      <c r="L5" s="26"/>
      <c r="M5" s="27" t="s">
        <v>16</v>
      </c>
      <c r="N5" s="28"/>
      <c r="O5" s="3" t="s">
        <v>11</v>
      </c>
      <c r="P5" s="24" t="s">
        <v>11</v>
      </c>
      <c r="Q5" s="26"/>
    </row>
    <row r="6" spans="1:18" ht="15.75" customHeight="1" thickBot="1" x14ac:dyDescent="0.45">
      <c r="A6" s="1"/>
      <c r="B6" s="1"/>
      <c r="C6" s="1"/>
      <c r="D6" s="1"/>
      <c r="J6" s="24" t="s">
        <v>19</v>
      </c>
      <c r="K6" s="25"/>
      <c r="L6" s="26"/>
      <c r="M6" s="27" t="s">
        <v>20</v>
      </c>
      <c r="N6" s="28"/>
      <c r="O6" s="3" t="s">
        <v>11</v>
      </c>
      <c r="P6" s="29" t="s">
        <v>11</v>
      </c>
      <c r="Q6" s="30"/>
    </row>
    <row r="7" spans="1:18" ht="15" thickBot="1" x14ac:dyDescent="0.4">
      <c r="P7" s="18" t="s">
        <v>34</v>
      </c>
      <c r="Q7" s="19"/>
      <c r="R7" s="8" t="s">
        <v>35</v>
      </c>
    </row>
    <row r="8" spans="1:18" ht="15" customHeight="1" x14ac:dyDescent="0.35">
      <c r="A8" s="31" t="s">
        <v>20</v>
      </c>
      <c r="B8" s="32"/>
      <c r="C8" s="33" t="s">
        <v>21</v>
      </c>
      <c r="D8" s="34"/>
    </row>
    <row r="9" spans="1:18" ht="15.75" customHeight="1" thickBot="1" x14ac:dyDescent="0.4">
      <c r="A9" s="35" t="s">
        <v>22</v>
      </c>
      <c r="B9" s="36"/>
      <c r="C9" s="37" t="s">
        <v>23</v>
      </c>
      <c r="D9" s="38"/>
    </row>
    <row r="11" spans="1:18" ht="15.75" customHeight="1" x14ac:dyDescent="0.35"/>
    <row r="14" spans="1:18" ht="16" x14ac:dyDescent="0.4">
      <c r="A14" s="9"/>
      <c r="B14" s="20" t="s">
        <v>24</v>
      </c>
      <c r="C14" s="20"/>
      <c r="D14" s="9" t="s">
        <v>25</v>
      </c>
      <c r="E14" s="9" t="s">
        <v>26</v>
      </c>
      <c r="F14" s="21" t="s">
        <v>27</v>
      </c>
      <c r="G14" s="21"/>
      <c r="H14" s="12" t="s">
        <v>28</v>
      </c>
      <c r="I14" s="20" t="s">
        <v>29</v>
      </c>
      <c r="J14" s="20"/>
      <c r="K14" s="20" t="s">
        <v>30</v>
      </c>
      <c r="L14" s="20"/>
      <c r="M14" s="20" t="s">
        <v>36</v>
      </c>
      <c r="N14" s="20"/>
      <c r="O14" s="9" t="s">
        <v>37</v>
      </c>
    </row>
    <row r="15" spans="1:18" ht="16" x14ac:dyDescent="0.4">
      <c r="A15" s="2" t="s">
        <v>31</v>
      </c>
      <c r="B15" s="22">
        <v>9</v>
      </c>
      <c r="C15" s="22"/>
      <c r="D15" s="10">
        <f t="shared" ref="D15:D17" si="0">B15 *2</f>
        <v>18</v>
      </c>
      <c r="E15" s="10">
        <v>0</v>
      </c>
      <c r="F15" s="23">
        <f t="shared" ref="F15:F17" si="1">(B15-E15) *8</f>
        <v>72</v>
      </c>
      <c r="G15" s="23"/>
      <c r="H15" s="11">
        <v>7.5</v>
      </c>
      <c r="I15" s="15">
        <f t="shared" ref="I15:I17" si="2">F15-H15</f>
        <v>64.5</v>
      </c>
      <c r="J15" s="16"/>
      <c r="K15" s="17">
        <f t="shared" ref="K15:K17" si="3">I15/4</f>
        <v>16.125</v>
      </c>
      <c r="L15" s="17"/>
      <c r="M15" s="23">
        <v>13</v>
      </c>
      <c r="N15" s="23"/>
      <c r="O15" s="10">
        <v>3.125</v>
      </c>
    </row>
    <row r="16" spans="1:18" ht="16" x14ac:dyDescent="0.4">
      <c r="A16" s="2" t="s">
        <v>32</v>
      </c>
      <c r="B16" s="13">
        <v>9</v>
      </c>
      <c r="C16" s="13"/>
      <c r="D16" s="3">
        <f t="shared" si="0"/>
        <v>18</v>
      </c>
      <c r="E16" s="3">
        <v>0</v>
      </c>
      <c r="F16" s="14">
        <f t="shared" si="1"/>
        <v>72</v>
      </c>
      <c r="G16" s="14"/>
      <c r="H16" s="11">
        <v>7.5</v>
      </c>
      <c r="I16" s="15">
        <f t="shared" si="2"/>
        <v>64.5</v>
      </c>
      <c r="J16" s="16"/>
      <c r="K16" s="17">
        <f t="shared" si="3"/>
        <v>16.125</v>
      </c>
      <c r="L16" s="17"/>
      <c r="M16" s="23">
        <v>13</v>
      </c>
      <c r="N16" s="23"/>
      <c r="O16" s="10">
        <v>3.125</v>
      </c>
    </row>
    <row r="17" spans="1:15" ht="16" x14ac:dyDescent="0.4">
      <c r="A17" s="2" t="s">
        <v>33</v>
      </c>
      <c r="B17" s="13">
        <v>9</v>
      </c>
      <c r="C17" s="13"/>
      <c r="D17" s="3">
        <f t="shared" si="0"/>
        <v>18</v>
      </c>
      <c r="E17" s="3">
        <v>0</v>
      </c>
      <c r="F17" s="14">
        <f t="shared" si="1"/>
        <v>72</v>
      </c>
      <c r="G17" s="14"/>
      <c r="H17" s="11">
        <v>7.5</v>
      </c>
      <c r="I17" s="15">
        <f t="shared" si="2"/>
        <v>64.5</v>
      </c>
      <c r="J17" s="16"/>
      <c r="K17" s="17">
        <f t="shared" si="3"/>
        <v>16.125</v>
      </c>
      <c r="L17" s="17"/>
      <c r="M17" s="23">
        <v>13</v>
      </c>
      <c r="N17" s="23"/>
      <c r="O17" s="10">
        <v>3.125</v>
      </c>
    </row>
    <row r="27" spans="1:15" ht="16" x14ac:dyDescent="0.4">
      <c r="B27" s="1"/>
      <c r="C27" s="1"/>
    </row>
    <row r="28" spans="1:15" ht="16" x14ac:dyDescent="0.4">
      <c r="B28" s="1"/>
      <c r="C28" s="1"/>
    </row>
    <row r="29" spans="1:15" ht="16" x14ac:dyDescent="0.4">
      <c r="B29" s="1"/>
      <c r="C29" s="1"/>
    </row>
    <row r="30" spans="1:15" ht="16" x14ac:dyDescent="0.4">
      <c r="B30" s="1"/>
      <c r="C30" s="1"/>
    </row>
    <row r="36" spans="2:5" ht="16" x14ac:dyDescent="0.4">
      <c r="B36" s="1"/>
      <c r="C36" s="1"/>
      <c r="D36" s="1"/>
      <c r="E36" s="1"/>
    </row>
  </sheetData>
  <mergeCells count="58">
    <mergeCell ref="M15:N15"/>
    <mergeCell ref="M16:N16"/>
    <mergeCell ref="M17:N17"/>
    <mergeCell ref="B1:C1"/>
    <mergeCell ref="F1:G1"/>
    <mergeCell ref="B2:C2"/>
    <mergeCell ref="F2:G2"/>
    <mergeCell ref="D1:E1"/>
    <mergeCell ref="B3:C3"/>
    <mergeCell ref="F3:G3"/>
    <mergeCell ref="B4:C4"/>
    <mergeCell ref="F4:G4"/>
    <mergeCell ref="B5:C5"/>
    <mergeCell ref="F5:G5"/>
    <mergeCell ref="D4:E4"/>
    <mergeCell ref="M1:N1"/>
    <mergeCell ref="P1:Q1"/>
    <mergeCell ref="D2:E2"/>
    <mergeCell ref="J2:L2"/>
    <mergeCell ref="M2:N2"/>
    <mergeCell ref="P2:Q2"/>
    <mergeCell ref="J1:L1"/>
    <mergeCell ref="D3:E3"/>
    <mergeCell ref="J3:L3"/>
    <mergeCell ref="M3:N3"/>
    <mergeCell ref="P3:Q3"/>
    <mergeCell ref="M4:N4"/>
    <mergeCell ref="P4:Q4"/>
    <mergeCell ref="D5:E5"/>
    <mergeCell ref="J5:L5"/>
    <mergeCell ref="M5:N5"/>
    <mergeCell ref="P5:Q5"/>
    <mergeCell ref="J4:L4"/>
    <mergeCell ref="A9:B9"/>
    <mergeCell ref="C9:D9"/>
    <mergeCell ref="M6:N6"/>
    <mergeCell ref="P6:Q6"/>
    <mergeCell ref="P7:Q7"/>
    <mergeCell ref="A8:B8"/>
    <mergeCell ref="C8:D8"/>
    <mergeCell ref="J6:L6"/>
    <mergeCell ref="B15:C15"/>
    <mergeCell ref="F15:G15"/>
    <mergeCell ref="I15:J15"/>
    <mergeCell ref="K15:L15"/>
    <mergeCell ref="B14:C14"/>
    <mergeCell ref="F14:G14"/>
    <mergeCell ref="I14:J14"/>
    <mergeCell ref="K14:L14"/>
    <mergeCell ref="M14:N14"/>
    <mergeCell ref="B16:C16"/>
    <mergeCell ref="F16:G16"/>
    <mergeCell ref="I16:J16"/>
    <mergeCell ref="K16:L16"/>
    <mergeCell ref="B17:C17"/>
    <mergeCell ref="F17:G17"/>
    <mergeCell ref="I17:J17"/>
    <mergeCell ref="K17:L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CFA_Sprint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Srikanth Turpu (Contractor)</dc:creator>
  <cp:keywords/>
  <dc:description/>
  <cp:lastModifiedBy>Srikanth Turpu [C]</cp:lastModifiedBy>
  <cp:revision/>
  <dcterms:created xsi:type="dcterms:W3CDTF">2025-03-13T10:08:14Z</dcterms:created>
  <dcterms:modified xsi:type="dcterms:W3CDTF">2026-01-08T15:40:03Z</dcterms:modified>
  <cp:category/>
  <cp:contentStatus/>
</cp:coreProperties>
</file>